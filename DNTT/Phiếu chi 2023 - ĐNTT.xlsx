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sslaptop/Downloads/"/>
    </mc:Choice>
  </mc:AlternateContent>
  <xr:revisionPtr revIDLastSave="0" documentId="13_ncr:1_{E820AA5B-910F-5141-BF1B-E59653E4BA03}" xr6:coauthVersionLast="47" xr6:coauthVersionMax="47" xr10:uidLastSave="{00000000-0000-0000-0000-000000000000}"/>
  <bookViews>
    <workbookView xWindow="0" yWindow="660" windowWidth="25600" windowHeight="14880" activeTab="1" xr2:uid="{00000000-000D-0000-FFFF-FFFF00000000}"/>
  </bookViews>
  <sheets>
    <sheet name="THU CHI TIỀN MẶT" sheetId="1" r:id="rId1"/>
    <sheet name="Sheet1" sheetId="2" r:id="rId2"/>
  </sheets>
  <definedNames>
    <definedName name="_xlnm._FilterDatabase" localSheetId="0" hidden="1">'THU CHI TIỀN MẶT'!$A$1:$I$129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" i="2"/>
</calcChain>
</file>

<file path=xl/sharedStrings.xml><?xml version="1.0" encoding="utf-8"?>
<sst xmlns="http://schemas.openxmlformats.org/spreadsheetml/2006/main" count="819" uniqueCount="330">
  <si>
    <t>STT</t>
  </si>
  <si>
    <t>Ngày hạch toán</t>
  </si>
  <si>
    <t>Số chứng từ</t>
  </si>
  <si>
    <t>Diễn giải</t>
  </si>
  <si>
    <t>Số tiền</t>
  </si>
  <si>
    <t>Đối tượng</t>
  </si>
  <si>
    <t>Lý do thu/chi</t>
  </si>
  <si>
    <t>Loại chứng từ</t>
  </si>
  <si>
    <t>Hạch toán gộp nhiều hóa đơn</t>
  </si>
  <si>
    <t>PC2036.007</t>
  </si>
  <si>
    <t>Xử lý chênh lệch thiếu khi kiểm kê</t>
  </si>
  <si>
    <t/>
  </si>
  <si>
    <t>Chi khác</t>
  </si>
  <si>
    <t>Phiếu chi</t>
  </si>
  <si>
    <t>PC2023.012</t>
  </si>
  <si>
    <t>Thanh toán tiền ăn tháng 12/2023</t>
  </si>
  <si>
    <t>PC00278</t>
  </si>
  <si>
    <t>Thanh toán lương NV T12.2023</t>
  </si>
  <si>
    <t>CÔNG TY CỔ PHẦN CÔNG NGHỆ - FEXI</t>
  </si>
  <si>
    <t>PC00251</t>
  </si>
  <si>
    <t>CÔNG TY TNHH AZTECH GROUP</t>
  </si>
  <si>
    <t>Chứng từ mua dịch vụ - Tiền mặt</t>
  </si>
  <si>
    <t>PC00250</t>
  </si>
  <si>
    <t>CÔNG TY CỔ PHẦN ĐẦU TƯ PHÁT TRIỂN THƯƠNG MẠI TOÀN CẦU</t>
  </si>
  <si>
    <t>Chi mua ngoài có hóa đơn</t>
  </si>
  <si>
    <t>Không</t>
  </si>
  <si>
    <t>PC00249</t>
  </si>
  <si>
    <t>Tập đoàn Công nghiệp - Viễn thông Quân đội</t>
  </si>
  <si>
    <t>PC00266</t>
  </si>
  <si>
    <t>Bảo hiểm xã hội cơ sở Thanh Xuân</t>
  </si>
  <si>
    <t>PC00248</t>
  </si>
  <si>
    <t>CÔNG TY CỔ PHẦN SẢN XUẤT BAO BÌ MINH AN</t>
  </si>
  <si>
    <t>Mua hàng trong nước nhập kho - Tiền mặt</t>
  </si>
  <si>
    <t>PC241223</t>
  </si>
  <si>
    <t>CÔNG TY CỔ PHẦN ẨM THỰC MẶT TRỜI VÀNG</t>
  </si>
  <si>
    <t>PC00252</t>
  </si>
  <si>
    <t>CÔNG TY CỔ PHẦN SÁCH MCBOOKS</t>
  </si>
  <si>
    <t>PC00265</t>
  </si>
  <si>
    <t>PC00247</t>
  </si>
  <si>
    <t>CÔNG TY TNHH TI KI</t>
  </si>
  <si>
    <t>PC161223</t>
  </si>
  <si>
    <t>CÔNG TY CỔ PHẦN TẬP ĐOÀN GOLDEN GATE - CHI NHÁNH MIỀN BẮC</t>
  </si>
  <si>
    <t>PC00246</t>
  </si>
  <si>
    <t>CÔNG TY TNHH THIẾT BỊ VẬT TƯ VĂN PHÒNG TÂN PHÚ</t>
  </si>
  <si>
    <t>PC00264</t>
  </si>
  <si>
    <t>PC00245</t>
  </si>
  <si>
    <t>Dịch vụ CC giải pháp tổng đài thông minh HĐ 16248</t>
  </si>
  <si>
    <t>CÔNG TY CỔ PHẦN GIẢI PHÁP CÔNG NGHỆ GADGET</t>
  </si>
  <si>
    <t>PC00243</t>
  </si>
  <si>
    <t>PC00244</t>
  </si>
  <si>
    <t>CÔNG TY TNHH ĐẦU TƯ VÀ PHÁT TRIỂN QUANG PHƯƠNG</t>
  </si>
  <si>
    <t>Mua hàng trong nước không qua kho - Tiền mặt</t>
  </si>
  <si>
    <t>PC00242</t>
  </si>
  <si>
    <t>PC00241</t>
  </si>
  <si>
    <t>PC2023.011</t>
  </si>
  <si>
    <t>Thanh toán tiền ăn tháng 11/2023</t>
  </si>
  <si>
    <t>PC00277</t>
  </si>
  <si>
    <t>Thanh toán lương NV T11.2023</t>
  </si>
  <si>
    <t>PC00240</t>
  </si>
  <si>
    <t>CÔNG TY TNHH RECESS</t>
  </si>
  <si>
    <t>PC00239</t>
  </si>
  <si>
    <t>PC00263</t>
  </si>
  <si>
    <t>PC20112301</t>
  </si>
  <si>
    <t>CÔNG TY CỔ PHẦN THỰC PHẨM VÀ DỊCH VỤ MY WAY</t>
  </si>
  <si>
    <t>PC031124</t>
  </si>
  <si>
    <t>PC00128</t>
  </si>
  <si>
    <t>Mua máy tính theo hóa đơn số 269</t>
  </si>
  <si>
    <t>CÔNG TY TNHH DỊCH VỤ MÁY TÍNH HOÀNG HÀ</t>
  </si>
  <si>
    <t>PC00105</t>
  </si>
  <si>
    <t>Mua điều hòa theo hóa đơn số 457905</t>
  </si>
  <si>
    <t>CÔNG TY CỔ PHẦN MEDIAMART VIỆT NAM</t>
  </si>
  <si>
    <t>PC031123</t>
  </si>
  <si>
    <t>HỘ KINH DOANH NHÀ SÁCH TIẾN THỌ NGUYỄN TRÃI</t>
  </si>
  <si>
    <t>PC00238</t>
  </si>
  <si>
    <t>PC00237</t>
  </si>
  <si>
    <t>PC2023.010</t>
  </si>
  <si>
    <t>Thanh toán tiền ăn tháng 10/2023</t>
  </si>
  <si>
    <t>PC00276</t>
  </si>
  <si>
    <t>Thanh toán lương NV T10.2023</t>
  </si>
  <si>
    <t>PC00236</t>
  </si>
  <si>
    <t>DV thanh toán trên vimo.vn hóa đơn số 38807</t>
  </si>
  <si>
    <t>CÔNG TY CỔ PHẦN CÔNG NGHỆ VI MÔ</t>
  </si>
  <si>
    <t>PC301023</t>
  </si>
  <si>
    <t>CÔNG TY CỔ PHẦN CANIFA</t>
  </si>
  <si>
    <t>PC00235</t>
  </si>
  <si>
    <t>CÔNG TY CỔ PHẦN THẦN BIỂN</t>
  </si>
  <si>
    <t>PC00107</t>
  </si>
  <si>
    <t>DV tên miền hóa đơn số 00161386</t>
  </si>
  <si>
    <t>CÔNG TY TNHH P.A VIỆT NAM</t>
  </si>
  <si>
    <t>PC00106</t>
  </si>
  <si>
    <t>DV thư điện tử theo hóa đơn số 00161283</t>
  </si>
  <si>
    <t>PC00234</t>
  </si>
  <si>
    <t>PC00262</t>
  </si>
  <si>
    <t>PC00261</t>
  </si>
  <si>
    <t>PC00233</t>
  </si>
  <si>
    <t>Mua gỗi chữ U cho NV VP, HĐ 161766</t>
  </si>
  <si>
    <t>CHI NHÁNH HÀ NỘI - CÔNG TY TNHH MINISO VIỆT NAM</t>
  </si>
  <si>
    <t>PC00232</t>
  </si>
  <si>
    <t>mua phần mềm MISA theo hóa đơn số 00200245</t>
  </si>
  <si>
    <t>CÔNG TY CỔ PHẦN MISA</t>
  </si>
  <si>
    <t>PC00231</t>
  </si>
  <si>
    <t>CÔNG TY TNHH THỰC PHẨM MINH KHÁNH LONG</t>
  </si>
  <si>
    <t>PC00856</t>
  </si>
  <si>
    <t>CÔNG TY CỔ PHẦN DỊCH VỤ VÀ PHÁT TRIỂN NAM PHONG</t>
  </si>
  <si>
    <t>Trả tiền nhà cung cấp (không theo hóa đơn)</t>
  </si>
  <si>
    <t>PC00230</t>
  </si>
  <si>
    <t>PC2023.009</t>
  </si>
  <si>
    <t>Thanh toán tiền ăn tháng 9/2023</t>
  </si>
  <si>
    <t>PC00275</t>
  </si>
  <si>
    <t>Thanh toán lương NV T09.2023</t>
  </si>
  <si>
    <t>PC00260</t>
  </si>
  <si>
    <t>PC00228</t>
  </si>
  <si>
    <t>PC00227</t>
  </si>
  <si>
    <t>PC00226</t>
  </si>
  <si>
    <t>PC00225</t>
  </si>
  <si>
    <t>PC2023.008</t>
  </si>
  <si>
    <t>Thanh toán tiền ăn tháng 08/2023</t>
  </si>
  <si>
    <t>PC00274</t>
  </si>
  <si>
    <t>Thanh toán lương NV T08.2023</t>
  </si>
  <si>
    <t>PC00259</t>
  </si>
  <si>
    <t>PC00126</t>
  </si>
  <si>
    <t>CÔNG TY CỔ PHẦN CÔNG NGHỆ LADIPAGE VIỆT NAM</t>
  </si>
  <si>
    <t>PC00120</t>
  </si>
  <si>
    <t>mua máy quẹt thẻ theo hóa đơn số 1797</t>
  </si>
  <si>
    <t>PC00222</t>
  </si>
  <si>
    <t>Mua DV cung cấp giải pháp tổng đài thông minh HĐ 8243</t>
  </si>
  <si>
    <t>PC00224</t>
  </si>
  <si>
    <t>PC00223</t>
  </si>
  <si>
    <t>PC00116</t>
  </si>
  <si>
    <t>Mua cây nước theo hóa đơn số 356084</t>
  </si>
  <si>
    <t>PC00221</t>
  </si>
  <si>
    <t>Mua DV cung cấp giải pháp tổng đài thông minh HĐ 7467</t>
  </si>
  <si>
    <t>PC00258</t>
  </si>
  <si>
    <t>PC2023.007</t>
  </si>
  <si>
    <t>Thanh toán tiền ăn tháng 07/2023</t>
  </si>
  <si>
    <t>PC00273</t>
  </si>
  <si>
    <t>Thanh toán lương NV T07.2023</t>
  </si>
  <si>
    <t>PC00220</t>
  </si>
  <si>
    <t>PC00219</t>
  </si>
  <si>
    <t>Mua DV cung cấp giải pháp tổng đài thông minh HĐ 6302</t>
  </si>
  <si>
    <t>PC00218</t>
  </si>
  <si>
    <t>PC2023.006</t>
  </si>
  <si>
    <t>Thanh toán tiền ăn tháng 06/2023</t>
  </si>
  <si>
    <t>PC00272</t>
  </si>
  <si>
    <t>Thanh toán lương NV T06.2023</t>
  </si>
  <si>
    <t>PC00217</t>
  </si>
  <si>
    <t>PC00257</t>
  </si>
  <si>
    <t>PC00216</t>
  </si>
  <si>
    <t>PC00215</t>
  </si>
  <si>
    <t>PC00898</t>
  </si>
  <si>
    <t>Hoàn tiền cho Đinh Thị Hà Giang tiền chuyển nhầm</t>
  </si>
  <si>
    <t>Đinh Thị Hà Giang</t>
  </si>
  <si>
    <t>PC00214</t>
  </si>
  <si>
    <t>PC2023.005</t>
  </si>
  <si>
    <t>Thanh toán tiền ăn tháng 05/2023</t>
  </si>
  <si>
    <t>PC00271</t>
  </si>
  <si>
    <t>Thanh toán lương NV T05.2023</t>
  </si>
  <si>
    <t>PC00109</t>
  </si>
  <si>
    <t>Mua tai nghe theo hóa đơn số 00002949</t>
  </si>
  <si>
    <t>CÔNG TY CỔ PHẦN CÔNG NGHỆ DU HƯNG</t>
  </si>
  <si>
    <t>PC00256</t>
  </si>
  <si>
    <t>PC00110</t>
  </si>
  <si>
    <t>Mua tai nghe theo hóa đơn số 00002854</t>
  </si>
  <si>
    <t>PC00132</t>
  </si>
  <si>
    <t>CÔNG TY CỔ PHẦN BASE ENTERPRISE</t>
  </si>
  <si>
    <t>PC00213</t>
  </si>
  <si>
    <t>Mua DV cung cấp tổng đài thông minh HĐ 4196</t>
  </si>
  <si>
    <t>PC00212</t>
  </si>
  <si>
    <t>PC00211</t>
  </si>
  <si>
    <t>PC00210</t>
  </si>
  <si>
    <t>PC2023.004</t>
  </si>
  <si>
    <t>Thanh toán tiền ăn tháng 04/2023</t>
  </si>
  <si>
    <t>PC00270</t>
  </si>
  <si>
    <t>Thanh toán lương NV T04.2023</t>
  </si>
  <si>
    <t>PC00209</t>
  </si>
  <si>
    <t>PC00255</t>
  </si>
  <si>
    <t>PC00111</t>
  </si>
  <si>
    <t>Mua máy lọc nước theo hóa đơn số 196574</t>
  </si>
  <si>
    <t>PC00114</t>
  </si>
  <si>
    <t>Mua quạt hóa đơn số 194703</t>
  </si>
  <si>
    <t>PC00113</t>
  </si>
  <si>
    <t>Mua máy lọc nước theo hóa đơn số 194697</t>
  </si>
  <si>
    <t>PC00112</t>
  </si>
  <si>
    <t>Mua máy lọc nước theo hóa đơn số 194678</t>
  </si>
  <si>
    <t>PC00208</t>
  </si>
  <si>
    <t>PC00207</t>
  </si>
  <si>
    <t>PC2023.003</t>
  </si>
  <si>
    <t>Thanh toán tiền ăn tháng 03/2023</t>
  </si>
  <si>
    <t>PC00269</t>
  </si>
  <si>
    <t>Thanh toán lương NV T03.2023</t>
  </si>
  <si>
    <t>PC00205</t>
  </si>
  <si>
    <t>PC00189</t>
  </si>
  <si>
    <t>Mua hàng của CÔNG TY CỔ PHẦN MEDIAMART VIỆT NAM, HĐ 174550</t>
  </si>
  <si>
    <t>PC00204</t>
  </si>
  <si>
    <t>PC00203</t>
  </si>
  <si>
    <t>PC00202</t>
  </si>
  <si>
    <t>PC00201</t>
  </si>
  <si>
    <t>CÔNG TY TNHH NACILAW</t>
  </si>
  <si>
    <t>PC00254</t>
  </si>
  <si>
    <t>PC00200</t>
  </si>
  <si>
    <t>PC00199</t>
  </si>
  <si>
    <t>PC00127</t>
  </si>
  <si>
    <t>CÔNG TY TNHH PANCAKE VIỆT NAM</t>
  </si>
  <si>
    <t>PC2023.002</t>
  </si>
  <si>
    <t>Thanh toán tiền ăn tháng 02/2023</t>
  </si>
  <si>
    <t>PC00268</t>
  </si>
  <si>
    <t>Thanh toán lương NV T02.2023</t>
  </si>
  <si>
    <t>PC00198</t>
  </si>
  <si>
    <t>PC00197</t>
  </si>
  <si>
    <t>PC00253</t>
  </si>
  <si>
    <t>PC00196</t>
  </si>
  <si>
    <t>PC00195</t>
  </si>
  <si>
    <t>Nhà xuất bản đại học Quốc gia Hà nội</t>
  </si>
  <si>
    <t>PC00125</t>
  </si>
  <si>
    <t>Mua phần mềm LadiPage theo hoá đơn số 1269</t>
  </si>
  <si>
    <t>PC00194</t>
  </si>
  <si>
    <t>PC00193</t>
  </si>
  <si>
    <t>PC00206</t>
  </si>
  <si>
    <t>PC00188</t>
  </si>
  <si>
    <t>CHI NHÁNH CÔNG TY CỔ PHẦN THẾ GIỚI DI ĐỘNG</t>
  </si>
  <si>
    <t>PC00192</t>
  </si>
  <si>
    <t>PC2023.001</t>
  </si>
  <si>
    <t>Thanh toán tiền ăn tháng 01/2023</t>
  </si>
  <si>
    <t>PC00267</t>
  </si>
  <si>
    <t>Thanh toán lương NV T01.2023</t>
  </si>
  <si>
    <t>PC00191</t>
  </si>
  <si>
    <t>PC00190</t>
  </si>
  <si>
    <t>Tổng</t>
  </si>
  <si>
    <t>Thanh toán chi phí bán hàng tại Tiki HĐ 326836</t>
  </si>
  <si>
    <t>Thanh toán chi phí bán hàng tại Tiki HĐ 3144445</t>
  </si>
  <si>
    <t>Thanh toán chi phí bán hàng tại Tiki HĐ 301423</t>
  </si>
  <si>
    <t>Thanh toán chi phí bán hàng tại Tiki HĐ 280921</t>
  </si>
  <si>
    <t>Thanh toán chi phí bán hàng tại Tiki HĐ 269969</t>
  </si>
  <si>
    <t>Thanh toán chi phí bán hàng tại Tiki HĐ 258085</t>
  </si>
  <si>
    <t>Thanh toán chi phí bán hàng tại Tiki HĐ 245045</t>
  </si>
  <si>
    <t>Thanh toán chi phí bán hàng tại Tiki HĐ 198532</t>
  </si>
  <si>
    <t>Thanh toán chi phí bán hàng tại Tiki HĐ 190735</t>
  </si>
  <si>
    <t>Thanh toán chi phí bán hàng tại Tiki HĐ  169181</t>
  </si>
  <si>
    <t>Thanh toán chi phí bán hàng tại Tiki HĐ  168962</t>
  </si>
  <si>
    <t>Thanh toán chi phí bán hàng tại Tiki HĐ  154842</t>
  </si>
  <si>
    <t>Thanh toán chi phí bán hàng tại Tiki HĐ  144848</t>
  </si>
  <si>
    <t>Thanh toán chi phí bán hàng tại Tiki HĐ  132986</t>
  </si>
  <si>
    <t>Thanh toán chi phí bán hàng tại Tiki HĐ  119653</t>
  </si>
  <si>
    <t>Thanh toán chi phí bán hàng tại Tiki HĐ  92946</t>
  </si>
  <si>
    <t>Thanh toán chi phí bán hàng tại Tiki HĐ  71262</t>
  </si>
  <si>
    <t>Thanh toán chi phí bán hàng tại Tiki HĐ  55321</t>
  </si>
  <si>
    <t>Thanh toán chi phí bán hàng tại Tiki HĐ  38108</t>
  </si>
  <si>
    <t>Thanh toán chi phí bán hàng tại Tiki HĐ  26566</t>
  </si>
  <si>
    <t>Thanh toán chi phí bán hàng tại Tiki HĐ 1421</t>
  </si>
  <si>
    <t>Thanh toán chi phí mua thiết bị di động của  CP THẾ GIỚI DI ĐỘNG theo HĐ 235837</t>
  </si>
  <si>
    <t>Thanh toán chi phí cước điện thoại theo hoá đơn 39591659, 39594977, 39597002, 39599980, 4446018. 4446229, 4446337, 4446527</t>
  </si>
  <si>
    <t>Thanh toán chi phí cước điện thoại theo hoá đơn 34148032, 34148261</t>
  </si>
  <si>
    <t>Thanh toán chi phí cước điện thoại theo hoá đơn 31863297, 31881127, 31903831</t>
  </si>
  <si>
    <t>Thanh toán chi phí cước điện thoại theo hoá đơn 4098284</t>
  </si>
  <si>
    <t>Thanh toán chi phí cước điện thoại theo hoá đơn  13966288, 13981853</t>
  </si>
  <si>
    <t>Thanh toán chi phí cước điện thoại theo hoá đơn  81381360</t>
  </si>
  <si>
    <t>Thanh toán chi phí cước điện thoại theo hoá đơn 24588402</t>
  </si>
  <si>
    <t>Thanh toán chi phí cước điện thoại theo hoá đơn 54930910, 54931416</t>
  </si>
  <si>
    <t>Thanh toán chi phí cước điện thoại theo hoá đơn  42389236</t>
  </si>
  <si>
    <t>Thanh toán chi phí cước điện thoại theo hoá đơn 15997539</t>
  </si>
  <si>
    <t>Thanh toán cước dịch vụ Siptrunk theo hoá đơn 165</t>
  </si>
  <si>
    <t>Thanh toán cước cung cấp dịch vụ phần mềm Pancake theo hoá đơn số 00000111</t>
  </si>
  <si>
    <t>Thanh toán chi phí tiếp khách theo hoá đơn 37012</t>
  </si>
  <si>
    <t>Thanh toán chi phí tiếp khách theo hoá đơn 9262</t>
  </si>
  <si>
    <t>Thanh toán chi phí tiếp khách theo hoá đơn 30141</t>
  </si>
  <si>
    <t>Thanh toán chi phí tiếp khách theo hoá đơn 27720</t>
  </si>
  <si>
    <t>Thanh toán chi phí tiếp khách theo hoá đơn số 1030925</t>
  </si>
  <si>
    <t>Thanh toán chi phí tiếp khách theo hoá đơn số 2950</t>
  </si>
  <si>
    <t>Thanh toán chi phí tiếp khách theo hoá đơnsố 2949 ngày 20/11/2023</t>
  </si>
  <si>
    <t>Chi thanh toán chi phí phúc lợi nhân viên theo hoá đơn 9393 ngày 30/10</t>
  </si>
  <si>
    <t>Thanh toán chi phí dịch vụ gian hàng theo hoá đơn 6342581, 6343158</t>
  </si>
  <si>
    <t>Thanh toán chi phí dịch vụ gian hàng theo hoá đơn3388423, 3388467</t>
  </si>
  <si>
    <t>Thanh toán chi phí dịch vụ gian hàng theo hoá đơn 2150138</t>
  </si>
  <si>
    <t>Thanh toán chi phí dịch vụ gian hàng theo hoá đơn1925917</t>
  </si>
  <si>
    <t>Thanh toán chi phí dịch vụ gian hàng theo hoá đơn1833656</t>
  </si>
  <si>
    <t>Thanh toán chi phí dịch vụ gian hàng theo hoá đơn1402131</t>
  </si>
  <si>
    <t>Thanh toán chi phí dịch vụ gian hàng theo hoá đơn1197055</t>
  </si>
  <si>
    <t>Thanh toán chi phí dịch vụ gian hàng theo hoá đơn1068047</t>
  </si>
  <si>
    <t>Thanh toán chi phí dịch vụ gian hàng theo hoá đơn743518</t>
  </si>
  <si>
    <t>Thanh toán chi phí dịch vụ gian hàng theo hoá đơn623950</t>
  </si>
  <si>
    <t>Thanh toán chi phí dịch vụ gian hàng theo hoá đơn306651</t>
  </si>
  <si>
    <t>Thanh toán BHXH tháng 12.2023</t>
  </si>
  <si>
    <t>Thanh toán BHXH tháng 11.2023</t>
  </si>
  <si>
    <t>Thanh toán BHXH tháng 10.2023</t>
  </si>
  <si>
    <t>Thanh toán BHXH tháng 09.2023</t>
  </si>
  <si>
    <t>Thanh toán BHXH tháng 08.2023</t>
  </si>
  <si>
    <t>Thanh toán BHXH tháng 07.2023</t>
  </si>
  <si>
    <t>Thanh toán BHXH tháng 06.2023</t>
  </si>
  <si>
    <t>Thanh toán BHXH tháng 05.2023</t>
  </si>
  <si>
    <t>Thanh toán BHXH tháng 04.2023</t>
  </si>
  <si>
    <t>Thanh toán BHXH tháng 03.2023</t>
  </si>
  <si>
    <t>Thanh toán BHXH tháng 02.2023</t>
  </si>
  <si>
    <t>Thanh toán BHXH tháng 01.2023</t>
  </si>
  <si>
    <t>Thanh toán chi phí in hộp cho CÔNG TY CỔ PHẦN SẢN XUẤT BAO BÌ MINH AN theo hóa đơn số 00000132</t>
  </si>
  <si>
    <t>Thanh toán chi phí tiếp khách</t>
  </si>
  <si>
    <t>Thanh toán chi phí sách cho CÔNG TY CỔ PHẦN SÁCH MCBOOKS theo hóa đơn số 3616</t>
  </si>
  <si>
    <t>Thanh toán chi phí mua văn phòng phẩm theo hoá đơn 1450</t>
  </si>
  <si>
    <t>Thanh toán chi phí mua tủ tài liệu theo hoá đơn 450</t>
  </si>
  <si>
    <t>Thanh toán chi phí mua văn phòng phẩm theo hoá đơn số 8 ngày 03/11</t>
  </si>
  <si>
    <t>Thanh toán phần mềm LadiPage Business12 cho 3TV hóa đơn số 00006698</t>
  </si>
  <si>
    <t>Thanh toán Phần mềm Base theo PL 01 HĐ160922, HĐ số 00001560</t>
  </si>
  <si>
    <t>Thanh toán Phí DV tư vấn SH trí tuệ HĐ 92</t>
  </si>
  <si>
    <t>Thanh toán Phí xuất bản sách HĐ 8/HĐ-XB-XH, HĐ 46</t>
  </si>
  <si>
    <t xml:space="preserve">Thanh toán chi phí </t>
  </si>
  <si>
    <t>Thanh toán chi phí Dịch vụ CC giải pháp tổng đài thông minh HĐ 16248</t>
  </si>
  <si>
    <t>Thanh toán chi phí Mua máy tính theo hóa đơn số 269</t>
  </si>
  <si>
    <t>Thanh toán chi phí Mua điều hòa theo hóa đơn số 457905</t>
  </si>
  <si>
    <t>Thanh toán chi phí DV thanh toán trên vimo.vn hóa đơn số 38807</t>
  </si>
  <si>
    <t>Thanh toán chi phí DV tên miền hóa đơn số 00161386</t>
  </si>
  <si>
    <t>Thanh toán chi phí DV thư điện tử theo hóa đơn số 00161283</t>
  </si>
  <si>
    <t>Thanh toán chi phí Mua gỗi chữ U cho NV VP, HĐ 161766</t>
  </si>
  <si>
    <t>Thanh toán chi phí mua phần mềm MISA theo hóa đơn số 00200245</t>
  </si>
  <si>
    <t>Thanh toán chi phí mua máy quẹt thẻ theo hóa đơn số 1797</t>
  </si>
  <si>
    <t>Thanh toán chi phí Mua DV cung cấp giải pháp tổng đài thông minh HĐ 8243</t>
  </si>
  <si>
    <t>Thanh toán chi phí Mua cây nước theo hóa đơn số 356084</t>
  </si>
  <si>
    <t>Thanh toán chi phí Mua DV cung cấp giải pháp tổng đài thông minh HĐ 7467</t>
  </si>
  <si>
    <t>Thanh toán chi phí Mua DV cung cấp giải pháp tổng đài thông minh HĐ 6302</t>
  </si>
  <si>
    <t>Thanh toán chi phí Hoàn tiền cho Đinh Thị Hà Giang tiền chuyển nhầm</t>
  </si>
  <si>
    <t>Thanh toán chi phí Mua tai nghe theo hóa đơn số 00002949</t>
  </si>
  <si>
    <t>Thanh toán chi phí Mua tai nghe theo hóa đơn số 00002854</t>
  </si>
  <si>
    <t>Thanh toán chi phí Mua DV cung cấp tổng đài thông minh HĐ 4196</t>
  </si>
  <si>
    <t>Thanh toán chi phí Mua máy lọc nước theo hóa đơn số 196574</t>
  </si>
  <si>
    <t>Thanh toán chi phí Mua quạt hóa đơn số 194703</t>
  </si>
  <si>
    <t>Thanh toán chi phí Mua máy lọc nước theo hóa đơn số 194697</t>
  </si>
  <si>
    <t>Thanh toán chi phí Mua máy lọc nước theo hóa đơn số 194678</t>
  </si>
  <si>
    <t>Thanh toán chi phí Mua hàng của CÔNG TY CỔ PHẦN MEDIAMART VIỆT NAM, HĐ 174550</t>
  </si>
  <si>
    <t>Thanh toán chi phí Mua phần mềm LadiPage theo hoá đơn số 1269</t>
  </si>
  <si>
    <t>Thanh toán chi phí dịch vụ thanh toán trên vimo.vn hóa đơn số 38807</t>
  </si>
  <si>
    <t>Thanh toán chi phí văn phòng phẩm - HĐ 4013</t>
  </si>
  <si>
    <t>Thanh toán chi phí mua bánh trung thu HĐ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</si>
</sst>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center" wrapText="1"/>
    </xf>
    <xf numFmtId="37" fontId="0" fillId="0" borderId="0" xfId="0" applyNumberFormat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0" fillId="0" borderId="1" xfId="0" applyNumberFormat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EC76-5F7C-4B24-9B03-86FA7B0F1852}">
  <dimension ref="A1:I129"/>
  <sheetViews>
    <sheetView showZeros="0" workbookViewId="0">
      <selection activeCell="E8" sqref="A1:I129"/>
    </sheetView>
  </sheetViews>
  <sheetFormatPr baseColWidth="10" defaultColWidth="8.83203125" defaultRowHeight="14" x14ac:dyDescent="0.15"/>
  <cols>
    <col min="1" max="1" width="4.33203125" style="1" customWidth="1"/>
    <col min="2" max="2" width="14.83203125" style="2" customWidth="1"/>
    <col min="3" max="3" width="12.5" style="1" customWidth="1"/>
    <col min="4" max="4" width="41.83203125" style="1" customWidth="1"/>
    <col min="5" max="5" width="15.1640625" style="3" customWidth="1"/>
    <col min="6" max="6" width="23.1640625" style="1" customWidth="1"/>
    <col min="7" max="7" width="32.6640625" style="1" customWidth="1"/>
    <col min="8" max="8" width="15.1640625" style="1" customWidth="1"/>
    <col min="9" max="9" width="22.33203125" style="1" customWidth="1"/>
  </cols>
  <sheetData>
    <row r="1" spans="1:9" ht="28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s="12" customFormat="1" ht="38.25" customHeight="1" x14ac:dyDescent="0.15">
      <c r="A2" s="5">
        <v>1</v>
      </c>
      <c r="B2" s="7">
        <v>45291</v>
      </c>
      <c r="C2" s="5" t="s">
        <v>9</v>
      </c>
      <c r="D2" s="5" t="s">
        <v>10</v>
      </c>
      <c r="E2" s="10">
        <v>508</v>
      </c>
      <c r="F2" s="5" t="s">
        <v>11</v>
      </c>
      <c r="G2" s="5" t="s">
        <v>12</v>
      </c>
      <c r="H2" s="5" t="s">
        <v>13</v>
      </c>
      <c r="I2" s="5" t="s">
        <v>11</v>
      </c>
    </row>
    <row r="3" spans="1:9" s="12" customFormat="1" ht="38.25" customHeight="1" x14ac:dyDescent="0.15">
      <c r="A3" s="5">
        <v>2</v>
      </c>
      <c r="B3" s="7">
        <v>45291</v>
      </c>
      <c r="C3" s="5" t="s">
        <v>14</v>
      </c>
      <c r="D3" s="5" t="s">
        <v>15</v>
      </c>
      <c r="E3" s="10">
        <v>15526000</v>
      </c>
      <c r="F3" s="5" t="s">
        <v>11</v>
      </c>
      <c r="G3" s="5" t="s">
        <v>12</v>
      </c>
      <c r="H3" s="5" t="s">
        <v>13</v>
      </c>
      <c r="I3" s="5" t="s">
        <v>11</v>
      </c>
    </row>
    <row r="4" spans="1:9" s="12" customFormat="1" ht="38.25" customHeight="1" x14ac:dyDescent="0.15">
      <c r="A4" s="5">
        <v>3</v>
      </c>
      <c r="B4" s="7">
        <v>45291</v>
      </c>
      <c r="C4" s="5" t="s">
        <v>16</v>
      </c>
      <c r="D4" s="5" t="s">
        <v>17</v>
      </c>
      <c r="E4" s="10">
        <v>257045490</v>
      </c>
      <c r="F4" s="5" t="s">
        <v>18</v>
      </c>
      <c r="G4" s="5" t="s">
        <v>12</v>
      </c>
      <c r="H4" s="5" t="s">
        <v>13</v>
      </c>
      <c r="I4" s="5" t="s">
        <v>11</v>
      </c>
    </row>
    <row r="5" spans="1:9" s="12" customFormat="1" ht="38.25" customHeight="1" x14ac:dyDescent="0.15">
      <c r="A5" s="5">
        <v>4</v>
      </c>
      <c r="B5" s="7">
        <v>45291</v>
      </c>
      <c r="C5" s="5" t="s">
        <v>19</v>
      </c>
      <c r="D5" s="5" t="s">
        <v>260</v>
      </c>
      <c r="E5" s="10">
        <v>10346001</v>
      </c>
      <c r="F5" s="5" t="s">
        <v>20</v>
      </c>
      <c r="G5" s="5" t="s">
        <v>21</v>
      </c>
      <c r="H5" s="5" t="s">
        <v>21</v>
      </c>
      <c r="I5" s="5" t="s">
        <v>11</v>
      </c>
    </row>
    <row r="6" spans="1:9" s="12" customFormat="1" ht="38.25" customHeight="1" x14ac:dyDescent="0.15">
      <c r="A6" s="5">
        <v>5</v>
      </c>
      <c r="B6" s="7">
        <v>45290</v>
      </c>
      <c r="C6" s="5" t="s">
        <v>22</v>
      </c>
      <c r="D6" s="5" t="s">
        <v>328</v>
      </c>
      <c r="E6" s="10">
        <v>2850000</v>
      </c>
      <c r="F6" s="5" t="s">
        <v>23</v>
      </c>
      <c r="G6" s="5" t="s">
        <v>24</v>
      </c>
      <c r="H6" s="5" t="s">
        <v>13</v>
      </c>
      <c r="I6" s="5" t="s">
        <v>25</v>
      </c>
    </row>
    <row r="7" spans="1:9" s="12" customFormat="1" ht="38.25" customHeight="1" x14ac:dyDescent="0.15">
      <c r="A7" s="5">
        <v>6</v>
      </c>
      <c r="B7" s="7">
        <v>45288</v>
      </c>
      <c r="C7" s="5" t="s">
        <v>26</v>
      </c>
      <c r="D7" s="5" t="s">
        <v>250</v>
      </c>
      <c r="E7" s="10">
        <v>6480000</v>
      </c>
      <c r="F7" s="5" t="s">
        <v>27</v>
      </c>
      <c r="G7" s="5" t="s">
        <v>24</v>
      </c>
      <c r="H7" s="5" t="s">
        <v>13</v>
      </c>
      <c r="I7" s="5" t="s">
        <v>25</v>
      </c>
    </row>
    <row r="8" spans="1:9" s="12" customFormat="1" ht="38.25" customHeight="1" x14ac:dyDescent="0.15">
      <c r="A8" s="5">
        <v>7</v>
      </c>
      <c r="B8" s="7">
        <v>45287</v>
      </c>
      <c r="C8" s="5" t="s">
        <v>28</v>
      </c>
      <c r="D8" s="5" t="s">
        <v>281</v>
      </c>
      <c r="E8" s="10">
        <v>4806680</v>
      </c>
      <c r="F8" s="5" t="s">
        <v>29</v>
      </c>
      <c r="G8" s="5" t="s">
        <v>12</v>
      </c>
      <c r="H8" s="5" t="s">
        <v>13</v>
      </c>
      <c r="I8" s="5" t="s">
        <v>11</v>
      </c>
    </row>
    <row r="9" spans="1:9" s="12" customFormat="1" ht="38.25" customHeight="1" x14ac:dyDescent="0.15">
      <c r="A9" s="5">
        <v>8</v>
      </c>
      <c r="B9" s="7">
        <v>45286</v>
      </c>
      <c r="C9" s="5" t="s">
        <v>30</v>
      </c>
      <c r="D9" s="5" t="s">
        <v>293</v>
      </c>
      <c r="E9" s="10">
        <v>14607000</v>
      </c>
      <c r="F9" s="5" t="s">
        <v>31</v>
      </c>
      <c r="G9" s="5" t="s">
        <v>32</v>
      </c>
      <c r="H9" s="5" t="s">
        <v>32</v>
      </c>
      <c r="I9" s="5" t="s">
        <v>11</v>
      </c>
    </row>
    <row r="10" spans="1:9" s="12" customFormat="1" ht="38.25" customHeight="1" x14ac:dyDescent="0.15">
      <c r="A10" s="5">
        <v>9</v>
      </c>
      <c r="B10" s="7">
        <v>45284</v>
      </c>
      <c r="C10" s="5" t="s">
        <v>33</v>
      </c>
      <c r="D10" s="5" t="s">
        <v>294</v>
      </c>
      <c r="E10" s="10">
        <v>1067040</v>
      </c>
      <c r="F10" s="5" t="s">
        <v>34</v>
      </c>
      <c r="G10" s="5" t="s">
        <v>24</v>
      </c>
      <c r="H10" s="5" t="s">
        <v>13</v>
      </c>
      <c r="I10" s="5" t="s">
        <v>25</v>
      </c>
    </row>
    <row r="11" spans="1:9" s="12" customFormat="1" ht="38.25" customHeight="1" x14ac:dyDescent="0.15">
      <c r="A11" s="5">
        <v>10</v>
      </c>
      <c r="B11" s="7">
        <v>45282</v>
      </c>
      <c r="C11" s="5" t="s">
        <v>35</v>
      </c>
      <c r="D11" s="5" t="s">
        <v>295</v>
      </c>
      <c r="E11" s="10">
        <v>10180500</v>
      </c>
      <c r="F11" s="5" t="s">
        <v>36</v>
      </c>
      <c r="G11" s="5" t="s">
        <v>32</v>
      </c>
      <c r="H11" s="5" t="s">
        <v>32</v>
      </c>
      <c r="I11" s="5" t="s">
        <v>11</v>
      </c>
    </row>
    <row r="12" spans="1:9" s="12" customFormat="1" ht="38.25" customHeight="1" x14ac:dyDescent="0.15">
      <c r="A12" s="5">
        <v>11</v>
      </c>
      <c r="B12" s="7">
        <v>45279</v>
      </c>
      <c r="C12" s="5" t="s">
        <v>37</v>
      </c>
      <c r="D12" s="5" t="s">
        <v>281</v>
      </c>
      <c r="E12" s="10">
        <v>26092680</v>
      </c>
      <c r="F12" s="5" t="s">
        <v>29</v>
      </c>
      <c r="G12" s="5" t="s">
        <v>12</v>
      </c>
      <c r="H12" s="5" t="s">
        <v>13</v>
      </c>
      <c r="I12" s="5" t="s">
        <v>11</v>
      </c>
    </row>
    <row r="13" spans="1:9" s="12" customFormat="1" ht="38.25" customHeight="1" x14ac:dyDescent="0.15">
      <c r="A13" s="5">
        <v>12</v>
      </c>
      <c r="B13" s="7">
        <v>45279</v>
      </c>
      <c r="C13" s="5" t="s">
        <v>38</v>
      </c>
      <c r="D13" s="5" t="s">
        <v>228</v>
      </c>
      <c r="E13" s="10">
        <v>100800</v>
      </c>
      <c r="F13" s="5" t="s">
        <v>39</v>
      </c>
      <c r="G13" s="5" t="s">
        <v>24</v>
      </c>
      <c r="H13" s="5" t="s">
        <v>13</v>
      </c>
      <c r="I13" s="5" t="s">
        <v>25</v>
      </c>
    </row>
    <row r="14" spans="1:9" s="12" customFormat="1" ht="38.25" customHeight="1" x14ac:dyDescent="0.15">
      <c r="A14" s="5">
        <v>13</v>
      </c>
      <c r="B14" s="7">
        <v>45276</v>
      </c>
      <c r="C14" s="5" t="s">
        <v>40</v>
      </c>
      <c r="D14" s="5" t="s">
        <v>266</v>
      </c>
      <c r="E14" s="10">
        <v>3040440</v>
      </c>
      <c r="F14" s="5" t="s">
        <v>41</v>
      </c>
      <c r="G14" s="5" t="s">
        <v>24</v>
      </c>
      <c r="H14" s="5" t="s">
        <v>13</v>
      </c>
      <c r="I14" s="5" t="s">
        <v>25</v>
      </c>
    </row>
    <row r="15" spans="1:9" s="12" customFormat="1" ht="38.25" customHeight="1" x14ac:dyDescent="0.15">
      <c r="A15" s="5">
        <v>14</v>
      </c>
      <c r="B15" s="7">
        <v>45276</v>
      </c>
      <c r="C15" s="5" t="s">
        <v>42</v>
      </c>
      <c r="D15" s="5" t="s">
        <v>296</v>
      </c>
      <c r="E15" s="10">
        <v>523360</v>
      </c>
      <c r="F15" s="5" t="s">
        <v>43</v>
      </c>
      <c r="G15" s="5" t="s">
        <v>24</v>
      </c>
      <c r="H15" s="5" t="s">
        <v>13</v>
      </c>
      <c r="I15" s="5" t="s">
        <v>25</v>
      </c>
    </row>
    <row r="16" spans="1:9" s="12" customFormat="1" ht="38.25" customHeight="1" x14ac:dyDescent="0.15">
      <c r="A16" s="5">
        <v>15</v>
      </c>
      <c r="B16" s="7">
        <v>45275</v>
      </c>
      <c r="C16" s="5" t="s">
        <v>44</v>
      </c>
      <c r="D16" s="5" t="s">
        <v>282</v>
      </c>
      <c r="E16" s="10">
        <v>41666560</v>
      </c>
      <c r="F16" s="5" t="s">
        <v>29</v>
      </c>
      <c r="G16" s="5" t="s">
        <v>12</v>
      </c>
      <c r="H16" s="5" t="s">
        <v>13</v>
      </c>
      <c r="I16" s="5" t="s">
        <v>11</v>
      </c>
    </row>
    <row r="17" spans="1:9" s="12" customFormat="1" ht="38.25" customHeight="1" x14ac:dyDescent="0.15">
      <c r="A17" s="5">
        <v>16</v>
      </c>
      <c r="B17" s="7">
        <v>45275</v>
      </c>
      <c r="C17" s="5" t="s">
        <v>45</v>
      </c>
      <c r="D17" s="5" t="s">
        <v>304</v>
      </c>
      <c r="E17" s="10">
        <v>4800000</v>
      </c>
      <c r="F17" s="5" t="s">
        <v>47</v>
      </c>
      <c r="G17" s="5" t="s">
        <v>21</v>
      </c>
      <c r="H17" s="5" t="s">
        <v>21</v>
      </c>
      <c r="I17" s="5" t="s">
        <v>11</v>
      </c>
    </row>
    <row r="18" spans="1:9" s="12" customFormat="1" ht="38.25" customHeight="1" x14ac:dyDescent="0.15">
      <c r="A18" s="5">
        <v>17</v>
      </c>
      <c r="B18" s="7">
        <v>45272</v>
      </c>
      <c r="C18" s="5" t="s">
        <v>48</v>
      </c>
      <c r="D18" s="5" t="s">
        <v>251</v>
      </c>
      <c r="E18" s="10">
        <v>3684000</v>
      </c>
      <c r="F18" s="5" t="s">
        <v>27</v>
      </c>
      <c r="G18" s="5" t="s">
        <v>24</v>
      </c>
      <c r="H18" s="5" t="s">
        <v>13</v>
      </c>
      <c r="I18" s="5" t="s">
        <v>25</v>
      </c>
    </row>
    <row r="19" spans="1:9" s="12" customFormat="1" ht="38.25" customHeight="1" x14ac:dyDescent="0.15">
      <c r="A19" s="5">
        <v>18</v>
      </c>
      <c r="B19" s="7">
        <v>45271</v>
      </c>
      <c r="C19" s="5" t="s">
        <v>49</v>
      </c>
      <c r="D19" s="5" t="s">
        <v>297</v>
      </c>
      <c r="E19" s="10">
        <v>1209600</v>
      </c>
      <c r="F19" s="5" t="s">
        <v>50</v>
      </c>
      <c r="G19" s="5" t="s">
        <v>51</v>
      </c>
      <c r="H19" s="5" t="s">
        <v>51</v>
      </c>
      <c r="I19" s="5" t="s">
        <v>11</v>
      </c>
    </row>
    <row r="20" spans="1:9" s="12" customFormat="1" ht="38.25" customHeight="1" x14ac:dyDescent="0.15">
      <c r="A20" s="5">
        <v>19</v>
      </c>
      <c r="B20" s="7">
        <v>45262</v>
      </c>
      <c r="C20" s="5" t="s">
        <v>52</v>
      </c>
      <c r="D20" s="5" t="s">
        <v>229</v>
      </c>
      <c r="E20" s="10">
        <v>207200</v>
      </c>
      <c r="F20" s="5" t="s">
        <v>39</v>
      </c>
      <c r="G20" s="5" t="s">
        <v>24</v>
      </c>
      <c r="H20" s="5" t="s">
        <v>13</v>
      </c>
      <c r="I20" s="5" t="s">
        <v>25</v>
      </c>
    </row>
    <row r="21" spans="1:9" s="12" customFormat="1" ht="38.25" customHeight="1" x14ac:dyDescent="0.15">
      <c r="A21" s="5">
        <v>20</v>
      </c>
      <c r="B21" s="7">
        <v>45262</v>
      </c>
      <c r="C21" s="5" t="s">
        <v>53</v>
      </c>
      <c r="D21" s="5" t="s">
        <v>252</v>
      </c>
      <c r="E21" s="10">
        <v>858133</v>
      </c>
      <c r="F21" s="5" t="s">
        <v>27</v>
      </c>
      <c r="G21" s="5" t="s">
        <v>24</v>
      </c>
      <c r="H21" s="5" t="s">
        <v>13</v>
      </c>
      <c r="I21" s="5" t="s">
        <v>25</v>
      </c>
    </row>
    <row r="22" spans="1:9" s="12" customFormat="1" ht="38.25" customHeight="1" x14ac:dyDescent="0.15">
      <c r="A22" s="5">
        <v>21</v>
      </c>
      <c r="B22" s="7">
        <v>45260</v>
      </c>
      <c r="C22" s="5" t="s">
        <v>54</v>
      </c>
      <c r="D22" s="5" t="s">
        <v>55</v>
      </c>
      <c r="E22" s="10">
        <v>14112000</v>
      </c>
      <c r="F22" s="5" t="s">
        <v>11</v>
      </c>
      <c r="G22" s="5" t="s">
        <v>12</v>
      </c>
      <c r="H22" s="5" t="s">
        <v>13</v>
      </c>
      <c r="I22" s="5" t="s">
        <v>11</v>
      </c>
    </row>
    <row r="23" spans="1:9" s="12" customFormat="1" ht="38.25" customHeight="1" x14ac:dyDescent="0.15">
      <c r="A23" s="5">
        <v>22</v>
      </c>
      <c r="B23" s="7">
        <v>45260</v>
      </c>
      <c r="C23" s="5" t="s">
        <v>56</v>
      </c>
      <c r="D23" s="5" t="s">
        <v>57</v>
      </c>
      <c r="E23" s="10">
        <v>218389365</v>
      </c>
      <c r="F23" s="5" t="s">
        <v>18</v>
      </c>
      <c r="G23" s="5" t="s">
        <v>12</v>
      </c>
      <c r="H23" s="5" t="s">
        <v>13</v>
      </c>
      <c r="I23" s="5" t="s">
        <v>11</v>
      </c>
    </row>
    <row r="24" spans="1:9" s="12" customFormat="1" ht="38.25" customHeight="1" x14ac:dyDescent="0.15">
      <c r="A24" s="5">
        <v>23</v>
      </c>
      <c r="B24" s="7">
        <v>45257</v>
      </c>
      <c r="C24" s="5" t="s">
        <v>58</v>
      </c>
      <c r="D24" s="5" t="s">
        <v>270</v>
      </c>
      <c r="E24" s="10">
        <v>51156</v>
      </c>
      <c r="F24" s="5" t="s">
        <v>59</v>
      </c>
      <c r="G24" s="5" t="s">
        <v>24</v>
      </c>
      <c r="H24" s="5" t="s">
        <v>13</v>
      </c>
      <c r="I24" s="5" t="s">
        <v>25</v>
      </c>
    </row>
    <row r="25" spans="1:9" s="12" customFormat="1" ht="38.25" customHeight="1" x14ac:dyDescent="0.15">
      <c r="A25" s="5">
        <v>24</v>
      </c>
      <c r="B25" s="7">
        <v>45257</v>
      </c>
      <c r="C25" s="5" t="s">
        <v>60</v>
      </c>
      <c r="D25" s="5" t="s">
        <v>253</v>
      </c>
      <c r="E25" s="10">
        <v>300000</v>
      </c>
      <c r="F25" s="5" t="s">
        <v>27</v>
      </c>
      <c r="G25" s="5" t="s">
        <v>24</v>
      </c>
      <c r="H25" s="5" t="s">
        <v>13</v>
      </c>
      <c r="I25" s="5" t="s">
        <v>25</v>
      </c>
    </row>
    <row r="26" spans="1:9" s="12" customFormat="1" ht="38.25" customHeight="1" x14ac:dyDescent="0.15">
      <c r="A26" s="5">
        <v>25</v>
      </c>
      <c r="B26" s="7">
        <v>45254</v>
      </c>
      <c r="C26" s="5" t="s">
        <v>61</v>
      </c>
      <c r="D26" s="5" t="s">
        <v>283</v>
      </c>
      <c r="E26" s="10">
        <v>33653760</v>
      </c>
      <c r="F26" s="5" t="s">
        <v>29</v>
      </c>
      <c r="G26" s="5" t="s">
        <v>12</v>
      </c>
      <c r="H26" s="5" t="s">
        <v>13</v>
      </c>
      <c r="I26" s="5" t="s">
        <v>11</v>
      </c>
    </row>
    <row r="27" spans="1:9" s="12" customFormat="1" ht="38.25" customHeight="1" x14ac:dyDescent="0.15">
      <c r="A27" s="5">
        <v>26</v>
      </c>
      <c r="B27" s="7">
        <v>45250</v>
      </c>
      <c r="C27" s="5" t="s">
        <v>62</v>
      </c>
      <c r="D27" s="5" t="s">
        <v>267</v>
      </c>
      <c r="E27" s="10">
        <v>429000</v>
      </c>
      <c r="F27" s="5" t="s">
        <v>63</v>
      </c>
      <c r="G27" s="5" t="s">
        <v>24</v>
      </c>
      <c r="H27" s="5" t="s">
        <v>13</v>
      </c>
      <c r="I27" s="5" t="s">
        <v>25</v>
      </c>
    </row>
    <row r="28" spans="1:9" s="12" customFormat="1" ht="38.25" customHeight="1" x14ac:dyDescent="0.15">
      <c r="A28" s="5">
        <v>27</v>
      </c>
      <c r="B28" s="7">
        <v>45250</v>
      </c>
      <c r="C28" s="5" t="s">
        <v>64</v>
      </c>
      <c r="D28" s="5" t="s">
        <v>268</v>
      </c>
      <c r="E28" s="10">
        <v>16741080</v>
      </c>
      <c r="F28" s="5" t="s">
        <v>63</v>
      </c>
      <c r="G28" s="5" t="s">
        <v>24</v>
      </c>
      <c r="H28" s="5" t="s">
        <v>13</v>
      </c>
      <c r="I28" s="5" t="s">
        <v>25</v>
      </c>
    </row>
    <row r="29" spans="1:9" s="12" customFormat="1" ht="38.25" customHeight="1" x14ac:dyDescent="0.15">
      <c r="A29" s="5">
        <v>28</v>
      </c>
      <c r="B29" s="7">
        <v>45247</v>
      </c>
      <c r="C29" s="5" t="s">
        <v>65</v>
      </c>
      <c r="D29" s="5" t="s">
        <v>305</v>
      </c>
      <c r="E29" s="10">
        <v>9250000</v>
      </c>
      <c r="F29" s="5" t="s">
        <v>67</v>
      </c>
      <c r="G29" s="5" t="s">
        <v>51</v>
      </c>
      <c r="H29" s="5" t="s">
        <v>51</v>
      </c>
      <c r="I29" s="5" t="s">
        <v>11</v>
      </c>
    </row>
    <row r="30" spans="1:9" s="12" customFormat="1" ht="38.25" customHeight="1" x14ac:dyDescent="0.15">
      <c r="A30" s="5">
        <v>29</v>
      </c>
      <c r="B30" s="7">
        <v>45236</v>
      </c>
      <c r="C30" s="5" t="s">
        <v>68</v>
      </c>
      <c r="D30" s="5" t="s">
        <v>306</v>
      </c>
      <c r="E30" s="10">
        <v>6690000</v>
      </c>
      <c r="F30" s="5" t="s">
        <v>70</v>
      </c>
      <c r="G30" s="5" t="s">
        <v>51</v>
      </c>
      <c r="H30" s="5" t="s">
        <v>51</v>
      </c>
      <c r="I30" s="5" t="s">
        <v>11</v>
      </c>
    </row>
    <row r="31" spans="1:9" s="12" customFormat="1" ht="38.25" customHeight="1" x14ac:dyDescent="0.15">
      <c r="A31" s="5">
        <v>30</v>
      </c>
      <c r="B31" s="7">
        <v>45233</v>
      </c>
      <c r="C31" s="5" t="s">
        <v>71</v>
      </c>
      <c r="D31" s="5" t="s">
        <v>298</v>
      </c>
      <c r="E31" s="10">
        <v>3265000</v>
      </c>
      <c r="F31" s="5" t="s">
        <v>72</v>
      </c>
      <c r="G31" s="5" t="s">
        <v>24</v>
      </c>
      <c r="H31" s="5" t="s">
        <v>13</v>
      </c>
      <c r="I31" s="5" t="s">
        <v>25</v>
      </c>
    </row>
    <row r="32" spans="1:9" s="12" customFormat="1" ht="38.25" customHeight="1" x14ac:dyDescent="0.15">
      <c r="A32" s="5">
        <v>31</v>
      </c>
      <c r="B32" s="7">
        <v>45233</v>
      </c>
      <c r="C32" s="5" t="s">
        <v>73</v>
      </c>
      <c r="D32" s="5" t="s">
        <v>230</v>
      </c>
      <c r="E32" s="10">
        <v>54000</v>
      </c>
      <c r="F32" s="5" t="s">
        <v>39</v>
      </c>
      <c r="G32" s="5" t="s">
        <v>24</v>
      </c>
      <c r="H32" s="5" t="s">
        <v>13</v>
      </c>
      <c r="I32" s="5" t="s">
        <v>25</v>
      </c>
    </row>
    <row r="33" spans="1:9" s="12" customFormat="1" ht="38.25" customHeight="1" x14ac:dyDescent="0.15">
      <c r="A33" s="5">
        <v>32</v>
      </c>
      <c r="B33" s="7">
        <v>45232</v>
      </c>
      <c r="C33" s="5" t="s">
        <v>74</v>
      </c>
      <c r="D33" s="5" t="s">
        <v>254</v>
      </c>
      <c r="E33" s="10">
        <v>913542</v>
      </c>
      <c r="F33" s="5" t="s">
        <v>27</v>
      </c>
      <c r="G33" s="5" t="s">
        <v>24</v>
      </c>
      <c r="H33" s="5" t="s">
        <v>13</v>
      </c>
      <c r="I33" s="5" t="s">
        <v>25</v>
      </c>
    </row>
    <row r="34" spans="1:9" s="12" customFormat="1" ht="38.25" customHeight="1" x14ac:dyDescent="0.15">
      <c r="A34" s="5">
        <v>33</v>
      </c>
      <c r="B34" s="7">
        <v>45230</v>
      </c>
      <c r="C34" s="5" t="s">
        <v>75</v>
      </c>
      <c r="D34" s="5" t="s">
        <v>76</v>
      </c>
      <c r="E34" s="10">
        <v>12460000</v>
      </c>
      <c r="F34" s="5" t="s">
        <v>11</v>
      </c>
      <c r="G34" s="5" t="s">
        <v>12</v>
      </c>
      <c r="H34" s="5" t="s">
        <v>13</v>
      </c>
      <c r="I34" s="5" t="s">
        <v>11</v>
      </c>
    </row>
    <row r="35" spans="1:9" s="12" customFormat="1" ht="38.25" customHeight="1" x14ac:dyDescent="0.15">
      <c r="A35" s="5">
        <v>34</v>
      </c>
      <c r="B35" s="7">
        <v>45230</v>
      </c>
      <c r="C35" s="5" t="s">
        <v>77</v>
      </c>
      <c r="D35" s="5" t="s">
        <v>78</v>
      </c>
      <c r="E35" s="10">
        <v>194164367</v>
      </c>
      <c r="F35" s="5" t="s">
        <v>18</v>
      </c>
      <c r="G35" s="5" t="s">
        <v>12</v>
      </c>
      <c r="H35" s="5" t="s">
        <v>13</v>
      </c>
      <c r="I35" s="5" t="s">
        <v>11</v>
      </c>
    </row>
    <row r="36" spans="1:9" s="12" customFormat="1" ht="38.25" customHeight="1" x14ac:dyDescent="0.15">
      <c r="A36" s="5">
        <v>35</v>
      </c>
      <c r="B36" s="7">
        <v>45230</v>
      </c>
      <c r="C36" s="5" t="s">
        <v>79</v>
      </c>
      <c r="D36" s="5" t="s">
        <v>327</v>
      </c>
      <c r="E36" s="10">
        <v>6467000</v>
      </c>
      <c r="F36" s="5" t="s">
        <v>81</v>
      </c>
      <c r="G36" s="5" t="s">
        <v>21</v>
      </c>
      <c r="H36" s="5" t="s">
        <v>21</v>
      </c>
      <c r="I36" s="5" t="s">
        <v>11</v>
      </c>
    </row>
    <row r="37" spans="1:9" s="12" customFormat="1" ht="38.25" customHeight="1" x14ac:dyDescent="0.15">
      <c r="A37" s="5">
        <v>36</v>
      </c>
      <c r="B37" s="7">
        <v>45229</v>
      </c>
      <c r="C37" s="5" t="s">
        <v>82</v>
      </c>
      <c r="D37" s="5" t="s">
        <v>269</v>
      </c>
      <c r="E37" s="10">
        <v>1624000</v>
      </c>
      <c r="F37" s="5" t="s">
        <v>83</v>
      </c>
      <c r="G37" s="5" t="s">
        <v>24</v>
      </c>
      <c r="H37" s="5" t="s">
        <v>13</v>
      </c>
      <c r="I37" s="5" t="s">
        <v>25</v>
      </c>
    </row>
    <row r="38" spans="1:9" s="12" customFormat="1" ht="38.25" customHeight="1" x14ac:dyDescent="0.15">
      <c r="A38" s="5">
        <v>37</v>
      </c>
      <c r="B38" s="7">
        <v>45229</v>
      </c>
      <c r="C38" s="5" t="s">
        <v>84</v>
      </c>
      <c r="D38" s="5" t="s">
        <v>262</v>
      </c>
      <c r="E38" s="10">
        <v>1682160</v>
      </c>
      <c r="F38" s="5" t="s">
        <v>85</v>
      </c>
      <c r="G38" s="5" t="s">
        <v>24</v>
      </c>
      <c r="H38" s="5" t="s">
        <v>13</v>
      </c>
      <c r="I38" s="5" t="s">
        <v>25</v>
      </c>
    </row>
    <row r="39" spans="1:9" s="12" customFormat="1" ht="38.25" customHeight="1" x14ac:dyDescent="0.15">
      <c r="A39" s="5">
        <v>38</v>
      </c>
      <c r="B39" s="7">
        <v>45225</v>
      </c>
      <c r="C39" s="5" t="s">
        <v>86</v>
      </c>
      <c r="D39" s="5" t="s">
        <v>308</v>
      </c>
      <c r="E39" s="10">
        <v>3207600</v>
      </c>
      <c r="F39" s="5" t="s">
        <v>88</v>
      </c>
      <c r="G39" s="5" t="s">
        <v>21</v>
      </c>
      <c r="H39" s="5" t="s">
        <v>21</v>
      </c>
      <c r="I39" s="5" t="s">
        <v>11</v>
      </c>
    </row>
    <row r="40" spans="1:9" s="12" customFormat="1" ht="38.25" customHeight="1" x14ac:dyDescent="0.15">
      <c r="A40" s="5">
        <v>39</v>
      </c>
      <c r="B40" s="7">
        <v>45225</v>
      </c>
      <c r="C40" s="5" t="s">
        <v>89</v>
      </c>
      <c r="D40" s="5" t="s">
        <v>309</v>
      </c>
      <c r="E40" s="10">
        <v>2560800</v>
      </c>
      <c r="F40" s="5" t="s">
        <v>88</v>
      </c>
      <c r="G40" s="5" t="s">
        <v>21</v>
      </c>
      <c r="H40" s="5" t="s">
        <v>21</v>
      </c>
      <c r="I40" s="5" t="s">
        <v>11</v>
      </c>
    </row>
    <row r="41" spans="1:9" s="12" customFormat="1" ht="38.25" customHeight="1" x14ac:dyDescent="0.15">
      <c r="A41" s="5">
        <v>40</v>
      </c>
      <c r="B41" s="7">
        <v>45216</v>
      </c>
      <c r="C41" s="5" t="s">
        <v>91</v>
      </c>
      <c r="D41" s="5" t="s">
        <v>231</v>
      </c>
      <c r="E41" s="10">
        <v>108000</v>
      </c>
      <c r="F41" s="5" t="s">
        <v>39</v>
      </c>
      <c r="G41" s="5" t="s">
        <v>24</v>
      </c>
      <c r="H41" s="5" t="s">
        <v>13</v>
      </c>
      <c r="I41" s="5" t="s">
        <v>25</v>
      </c>
    </row>
    <row r="42" spans="1:9" s="12" customFormat="1" ht="38.25" customHeight="1" x14ac:dyDescent="0.15">
      <c r="A42" s="5">
        <v>41</v>
      </c>
      <c r="B42" s="7">
        <v>45212</v>
      </c>
      <c r="C42" s="5" t="s">
        <v>92</v>
      </c>
      <c r="D42" s="5" t="s">
        <v>284</v>
      </c>
      <c r="E42" s="10">
        <v>2754400</v>
      </c>
      <c r="F42" s="5" t="s">
        <v>29</v>
      </c>
      <c r="G42" s="5" t="s">
        <v>12</v>
      </c>
      <c r="H42" s="5" t="s">
        <v>13</v>
      </c>
      <c r="I42" s="5" t="s">
        <v>11</v>
      </c>
    </row>
    <row r="43" spans="1:9" s="12" customFormat="1" ht="38.25" customHeight="1" x14ac:dyDescent="0.15">
      <c r="A43" s="5">
        <v>42</v>
      </c>
      <c r="B43" s="7">
        <v>45212</v>
      </c>
      <c r="C43" s="5" t="s">
        <v>93</v>
      </c>
      <c r="D43" s="5" t="s">
        <v>284</v>
      </c>
      <c r="E43" s="10">
        <v>32501920</v>
      </c>
      <c r="F43" s="5" t="s">
        <v>29</v>
      </c>
      <c r="G43" s="5" t="s">
        <v>12</v>
      </c>
      <c r="H43" s="5" t="s">
        <v>13</v>
      </c>
      <c r="I43" s="5" t="s">
        <v>11</v>
      </c>
    </row>
    <row r="44" spans="1:9" s="12" customFormat="1" ht="38.25" customHeight="1" x14ac:dyDescent="0.15">
      <c r="A44" s="5">
        <v>43</v>
      </c>
      <c r="B44" s="7">
        <v>45211</v>
      </c>
      <c r="C44" s="5" t="s">
        <v>94</v>
      </c>
      <c r="D44" s="5" t="s">
        <v>310</v>
      </c>
      <c r="E44" s="10">
        <v>4767000</v>
      </c>
      <c r="F44" s="5" t="s">
        <v>96</v>
      </c>
      <c r="G44" s="5" t="s">
        <v>24</v>
      </c>
      <c r="H44" s="5" t="s">
        <v>13</v>
      </c>
      <c r="I44" s="5" t="s">
        <v>25</v>
      </c>
    </row>
    <row r="45" spans="1:9" s="12" customFormat="1" ht="38.25" customHeight="1" x14ac:dyDescent="0.15">
      <c r="A45" s="5">
        <v>44</v>
      </c>
      <c r="B45" s="7">
        <v>45210</v>
      </c>
      <c r="C45" s="5" t="s">
        <v>97</v>
      </c>
      <c r="D45" s="5" t="s">
        <v>311</v>
      </c>
      <c r="E45" s="10">
        <v>2447500</v>
      </c>
      <c r="F45" s="5" t="s">
        <v>99</v>
      </c>
      <c r="G45" s="5" t="s">
        <v>21</v>
      </c>
      <c r="H45" s="5" t="s">
        <v>21</v>
      </c>
      <c r="I45" s="5" t="s">
        <v>11</v>
      </c>
    </row>
    <row r="46" spans="1:9" s="12" customFormat="1" ht="38.25" customHeight="1" x14ac:dyDescent="0.15">
      <c r="A46" s="5">
        <v>45</v>
      </c>
      <c r="B46" s="7">
        <v>45208</v>
      </c>
      <c r="C46" s="5" t="s">
        <v>100</v>
      </c>
      <c r="D46" s="5" t="s">
        <v>263</v>
      </c>
      <c r="E46" s="10">
        <v>2906500</v>
      </c>
      <c r="F46" s="5" t="s">
        <v>101</v>
      </c>
      <c r="G46" s="5" t="s">
        <v>24</v>
      </c>
      <c r="H46" s="5" t="s">
        <v>13</v>
      </c>
      <c r="I46" s="5" t="s">
        <v>25</v>
      </c>
    </row>
    <row r="47" spans="1:9" s="12" customFormat="1" ht="38.25" customHeight="1" x14ac:dyDescent="0.15">
      <c r="A47" s="5">
        <v>46</v>
      </c>
      <c r="B47" s="7">
        <v>45203</v>
      </c>
      <c r="C47" s="5" t="s">
        <v>102</v>
      </c>
      <c r="D47" s="5" t="s">
        <v>329</v>
      </c>
      <c r="E47" s="10">
        <v>750000</v>
      </c>
      <c r="F47" s="5" t="s">
        <v>103</v>
      </c>
      <c r="G47" s="5" t="s">
        <v>104</v>
      </c>
      <c r="H47" s="5" t="s">
        <v>13</v>
      </c>
      <c r="I47" s="5" t="s">
        <v>11</v>
      </c>
    </row>
    <row r="48" spans="1:9" s="12" customFormat="1" ht="38.25" customHeight="1" x14ac:dyDescent="0.15">
      <c r="A48" s="5">
        <v>47</v>
      </c>
      <c r="B48" s="7">
        <v>45202</v>
      </c>
      <c r="C48" s="5" t="s">
        <v>105</v>
      </c>
      <c r="D48" s="5" t="s">
        <v>232</v>
      </c>
      <c r="E48" s="10">
        <v>54000</v>
      </c>
      <c r="F48" s="5" t="s">
        <v>39</v>
      </c>
      <c r="G48" s="5" t="s">
        <v>24</v>
      </c>
      <c r="H48" s="5" t="s">
        <v>13</v>
      </c>
      <c r="I48" s="5" t="s">
        <v>25</v>
      </c>
    </row>
    <row r="49" spans="1:9" s="12" customFormat="1" ht="38.25" customHeight="1" x14ac:dyDescent="0.15">
      <c r="A49" s="5">
        <v>48</v>
      </c>
      <c r="B49" s="7">
        <v>45199</v>
      </c>
      <c r="C49" s="5" t="s">
        <v>106</v>
      </c>
      <c r="D49" s="5" t="s">
        <v>107</v>
      </c>
      <c r="E49" s="10">
        <v>13958000</v>
      </c>
      <c r="F49" s="5" t="s">
        <v>11</v>
      </c>
      <c r="G49" s="5" t="s">
        <v>12</v>
      </c>
      <c r="H49" s="5" t="s">
        <v>13</v>
      </c>
      <c r="I49" s="5" t="s">
        <v>11</v>
      </c>
    </row>
    <row r="50" spans="1:9" s="12" customFormat="1" ht="38.25" customHeight="1" x14ac:dyDescent="0.15">
      <c r="A50" s="5">
        <v>49</v>
      </c>
      <c r="B50" s="7">
        <v>45199</v>
      </c>
      <c r="C50" s="5" t="s">
        <v>108</v>
      </c>
      <c r="D50" s="5" t="s">
        <v>109</v>
      </c>
      <c r="E50" s="10">
        <v>219148520</v>
      </c>
      <c r="F50" s="5" t="s">
        <v>18</v>
      </c>
      <c r="G50" s="5" t="s">
        <v>12</v>
      </c>
      <c r="H50" s="5" t="s">
        <v>13</v>
      </c>
      <c r="I50" s="5" t="s">
        <v>11</v>
      </c>
    </row>
    <row r="51" spans="1:9" s="12" customFormat="1" ht="38.25" customHeight="1" x14ac:dyDescent="0.15">
      <c r="A51" s="5">
        <v>50</v>
      </c>
      <c r="B51" s="7">
        <v>45195</v>
      </c>
      <c r="C51" s="5" t="s">
        <v>110</v>
      </c>
      <c r="D51" s="5" t="s">
        <v>285</v>
      </c>
      <c r="E51" s="10">
        <v>30660283</v>
      </c>
      <c r="F51" s="5" t="s">
        <v>29</v>
      </c>
      <c r="G51" s="5" t="s">
        <v>12</v>
      </c>
      <c r="H51" s="5" t="s">
        <v>13</v>
      </c>
      <c r="I51" s="5" t="s">
        <v>11</v>
      </c>
    </row>
    <row r="52" spans="1:9" s="12" customFormat="1" ht="38.25" customHeight="1" x14ac:dyDescent="0.15">
      <c r="A52" s="5">
        <v>51</v>
      </c>
      <c r="B52" s="7">
        <v>45188</v>
      </c>
      <c r="C52" s="5" t="s">
        <v>111</v>
      </c>
      <c r="D52" s="5" t="s">
        <v>233</v>
      </c>
      <c r="E52" s="10">
        <v>108000</v>
      </c>
      <c r="F52" s="5" t="s">
        <v>39</v>
      </c>
      <c r="G52" s="5" t="s">
        <v>24</v>
      </c>
      <c r="H52" s="5" t="s">
        <v>13</v>
      </c>
      <c r="I52" s="5" t="s">
        <v>25</v>
      </c>
    </row>
    <row r="53" spans="1:9" s="12" customFormat="1" ht="38.25" customHeight="1" x14ac:dyDescent="0.15">
      <c r="A53" s="5">
        <v>52</v>
      </c>
      <c r="B53" s="7">
        <v>45185</v>
      </c>
      <c r="C53" s="5" t="s">
        <v>112</v>
      </c>
      <c r="D53" s="5" t="s">
        <v>255</v>
      </c>
      <c r="E53" s="10">
        <v>2160000</v>
      </c>
      <c r="F53" s="5" t="s">
        <v>27</v>
      </c>
      <c r="G53" s="5" t="s">
        <v>24</v>
      </c>
      <c r="H53" s="5" t="s">
        <v>13</v>
      </c>
      <c r="I53" s="5" t="s">
        <v>25</v>
      </c>
    </row>
    <row r="54" spans="1:9" s="12" customFormat="1" ht="38.25" customHeight="1" x14ac:dyDescent="0.15">
      <c r="A54" s="5">
        <v>53</v>
      </c>
      <c r="B54" s="7">
        <v>45176</v>
      </c>
      <c r="C54" s="5" t="s">
        <v>113</v>
      </c>
      <c r="D54" s="5" t="s">
        <v>264</v>
      </c>
      <c r="E54" s="10">
        <v>3767880</v>
      </c>
      <c r="F54" s="5" t="s">
        <v>85</v>
      </c>
      <c r="G54" s="5" t="s">
        <v>24</v>
      </c>
      <c r="H54" s="5" t="s">
        <v>13</v>
      </c>
      <c r="I54" s="5" t="s">
        <v>25</v>
      </c>
    </row>
    <row r="55" spans="1:9" s="12" customFormat="1" ht="38.25" customHeight="1" x14ac:dyDescent="0.15">
      <c r="A55" s="5">
        <v>54</v>
      </c>
      <c r="B55" s="7">
        <v>45175</v>
      </c>
      <c r="C55" s="5" t="s">
        <v>114</v>
      </c>
      <c r="D55" s="5" t="s">
        <v>234</v>
      </c>
      <c r="E55" s="10">
        <v>54000</v>
      </c>
      <c r="F55" s="5" t="s">
        <v>39</v>
      </c>
      <c r="G55" s="5" t="s">
        <v>24</v>
      </c>
      <c r="H55" s="5" t="s">
        <v>13</v>
      </c>
      <c r="I55" s="5" t="s">
        <v>25</v>
      </c>
    </row>
    <row r="56" spans="1:9" s="12" customFormat="1" ht="38.25" customHeight="1" x14ac:dyDescent="0.15">
      <c r="A56" s="5">
        <v>55</v>
      </c>
      <c r="B56" s="7">
        <v>45169</v>
      </c>
      <c r="C56" s="5" t="s">
        <v>115</v>
      </c>
      <c r="D56" s="5" t="s">
        <v>116</v>
      </c>
      <c r="E56" s="10">
        <v>14000000</v>
      </c>
      <c r="F56" s="5" t="s">
        <v>11</v>
      </c>
      <c r="G56" s="5" t="s">
        <v>12</v>
      </c>
      <c r="H56" s="5" t="s">
        <v>13</v>
      </c>
      <c r="I56" s="5" t="s">
        <v>11</v>
      </c>
    </row>
    <row r="57" spans="1:9" s="12" customFormat="1" ht="38.25" customHeight="1" x14ac:dyDescent="0.15">
      <c r="A57" s="5">
        <v>56</v>
      </c>
      <c r="B57" s="7">
        <v>45169</v>
      </c>
      <c r="C57" s="5" t="s">
        <v>117</v>
      </c>
      <c r="D57" s="5" t="s">
        <v>118</v>
      </c>
      <c r="E57" s="10">
        <v>212163200</v>
      </c>
      <c r="F57" s="5" t="s">
        <v>18</v>
      </c>
      <c r="G57" s="5" t="s">
        <v>12</v>
      </c>
      <c r="H57" s="5" t="s">
        <v>13</v>
      </c>
      <c r="I57" s="5" t="s">
        <v>11</v>
      </c>
    </row>
    <row r="58" spans="1:9" s="12" customFormat="1" ht="38.25" customHeight="1" x14ac:dyDescent="0.15">
      <c r="A58" s="5">
        <v>57</v>
      </c>
      <c r="B58" s="7">
        <v>45169</v>
      </c>
      <c r="C58" s="5" t="s">
        <v>119</v>
      </c>
      <c r="D58" s="5" t="s">
        <v>286</v>
      </c>
      <c r="E58" s="10">
        <v>32051200</v>
      </c>
      <c r="F58" s="5" t="s">
        <v>29</v>
      </c>
      <c r="G58" s="5" t="s">
        <v>12</v>
      </c>
      <c r="H58" s="5" t="s">
        <v>13</v>
      </c>
      <c r="I58" s="5" t="s">
        <v>11</v>
      </c>
    </row>
    <row r="59" spans="1:9" s="12" customFormat="1" ht="38.25" customHeight="1" x14ac:dyDescent="0.15">
      <c r="A59" s="5">
        <v>58</v>
      </c>
      <c r="B59" s="7">
        <v>45163</v>
      </c>
      <c r="C59" s="5" t="s">
        <v>120</v>
      </c>
      <c r="D59" s="5" t="s">
        <v>299</v>
      </c>
      <c r="E59" s="10">
        <v>4920000</v>
      </c>
      <c r="F59" s="5" t="s">
        <v>121</v>
      </c>
      <c r="G59" s="5" t="s">
        <v>21</v>
      </c>
      <c r="H59" s="5" t="s">
        <v>21</v>
      </c>
      <c r="I59" s="5" t="s">
        <v>11</v>
      </c>
    </row>
    <row r="60" spans="1:9" s="12" customFormat="1" ht="38.25" customHeight="1" x14ac:dyDescent="0.15">
      <c r="A60" s="5">
        <v>59</v>
      </c>
      <c r="B60" s="7">
        <v>45162</v>
      </c>
      <c r="C60" s="5" t="s">
        <v>122</v>
      </c>
      <c r="D60" s="5" t="s">
        <v>312</v>
      </c>
      <c r="E60" s="10">
        <v>2750000</v>
      </c>
      <c r="F60" s="5" t="s">
        <v>81</v>
      </c>
      <c r="G60" s="5" t="s">
        <v>51</v>
      </c>
      <c r="H60" s="5" t="s">
        <v>51</v>
      </c>
      <c r="I60" s="5" t="s">
        <v>11</v>
      </c>
    </row>
    <row r="61" spans="1:9" s="12" customFormat="1" ht="38.25" customHeight="1" x14ac:dyDescent="0.15">
      <c r="A61" s="5">
        <v>60</v>
      </c>
      <c r="B61" s="7">
        <v>45160</v>
      </c>
      <c r="C61" s="5" t="s">
        <v>124</v>
      </c>
      <c r="D61" s="5" t="s">
        <v>313</v>
      </c>
      <c r="E61" s="10">
        <v>2925000</v>
      </c>
      <c r="F61" s="5" t="s">
        <v>47</v>
      </c>
      <c r="G61" s="5" t="s">
        <v>21</v>
      </c>
      <c r="H61" s="5" t="s">
        <v>21</v>
      </c>
      <c r="I61" s="5" t="s">
        <v>11</v>
      </c>
    </row>
    <row r="62" spans="1:9" s="12" customFormat="1" ht="38.25" customHeight="1" x14ac:dyDescent="0.15">
      <c r="A62" s="5">
        <v>61</v>
      </c>
      <c r="B62" s="7">
        <v>45158</v>
      </c>
      <c r="C62" s="5" t="s">
        <v>126</v>
      </c>
      <c r="D62" s="5" t="s">
        <v>265</v>
      </c>
      <c r="E62" s="10">
        <v>1165920</v>
      </c>
      <c r="F62" s="5" t="s">
        <v>85</v>
      </c>
      <c r="G62" s="5" t="s">
        <v>24</v>
      </c>
      <c r="H62" s="5" t="s">
        <v>13</v>
      </c>
      <c r="I62" s="5" t="s">
        <v>25</v>
      </c>
    </row>
    <row r="63" spans="1:9" s="12" customFormat="1" ht="38.25" customHeight="1" x14ac:dyDescent="0.15">
      <c r="A63" s="5">
        <v>62</v>
      </c>
      <c r="B63" s="7">
        <v>45157</v>
      </c>
      <c r="C63" s="5" t="s">
        <v>127</v>
      </c>
      <c r="D63" s="5" t="s">
        <v>271</v>
      </c>
      <c r="E63" s="10">
        <v>55510</v>
      </c>
      <c r="F63" s="5" t="s">
        <v>59</v>
      </c>
      <c r="G63" s="5" t="s">
        <v>24</v>
      </c>
      <c r="H63" s="5" t="s">
        <v>13</v>
      </c>
      <c r="I63" s="5" t="s">
        <v>25</v>
      </c>
    </row>
    <row r="64" spans="1:9" s="12" customFormat="1" ht="38.25" customHeight="1" x14ac:dyDescent="0.15">
      <c r="A64" s="5">
        <v>63</v>
      </c>
      <c r="B64" s="7">
        <v>45153</v>
      </c>
      <c r="C64" s="5" t="s">
        <v>128</v>
      </c>
      <c r="D64" s="5" t="s">
        <v>314</v>
      </c>
      <c r="E64" s="10">
        <v>4770000</v>
      </c>
      <c r="F64" s="5" t="s">
        <v>70</v>
      </c>
      <c r="G64" s="5" t="s">
        <v>51</v>
      </c>
      <c r="H64" s="5" t="s">
        <v>51</v>
      </c>
      <c r="I64" s="5" t="s">
        <v>11</v>
      </c>
    </row>
    <row r="65" spans="1:9" s="12" customFormat="1" ht="38.25" customHeight="1" x14ac:dyDescent="0.15">
      <c r="A65" s="5">
        <v>64</v>
      </c>
      <c r="B65" s="7">
        <v>45146</v>
      </c>
      <c r="C65" s="5" t="s">
        <v>130</v>
      </c>
      <c r="D65" s="5" t="s">
        <v>315</v>
      </c>
      <c r="E65" s="10">
        <v>300000</v>
      </c>
      <c r="F65" s="5" t="s">
        <v>47</v>
      </c>
      <c r="G65" s="5" t="s">
        <v>21</v>
      </c>
      <c r="H65" s="5" t="s">
        <v>21</v>
      </c>
      <c r="I65" s="5" t="s">
        <v>11</v>
      </c>
    </row>
    <row r="66" spans="1:9" s="12" customFormat="1" ht="38.25" customHeight="1" x14ac:dyDescent="0.15">
      <c r="A66" s="5">
        <v>65</v>
      </c>
      <c r="B66" s="7">
        <v>45139</v>
      </c>
      <c r="C66" s="5" t="s">
        <v>132</v>
      </c>
      <c r="D66" s="5" t="s">
        <v>287</v>
      </c>
      <c r="E66" s="10">
        <v>27243520</v>
      </c>
      <c r="F66" s="5" t="s">
        <v>29</v>
      </c>
      <c r="G66" s="5" t="s">
        <v>12</v>
      </c>
      <c r="H66" s="5" t="s">
        <v>13</v>
      </c>
      <c r="I66" s="5" t="s">
        <v>11</v>
      </c>
    </row>
    <row r="67" spans="1:9" s="12" customFormat="1" ht="38.25" customHeight="1" x14ac:dyDescent="0.15">
      <c r="A67" s="5">
        <v>66</v>
      </c>
      <c r="B67" s="7">
        <v>45138</v>
      </c>
      <c r="C67" s="5" t="s">
        <v>133</v>
      </c>
      <c r="D67" s="5" t="s">
        <v>134</v>
      </c>
      <c r="E67" s="10">
        <v>12880000</v>
      </c>
      <c r="F67" s="5" t="s">
        <v>11</v>
      </c>
      <c r="G67" s="5" t="s">
        <v>12</v>
      </c>
      <c r="H67" s="5" t="s">
        <v>13</v>
      </c>
      <c r="I67" s="5" t="s">
        <v>11</v>
      </c>
    </row>
    <row r="68" spans="1:9" s="12" customFormat="1" ht="38.25" customHeight="1" x14ac:dyDescent="0.15">
      <c r="A68" s="5">
        <v>67</v>
      </c>
      <c r="B68" s="7">
        <v>45138</v>
      </c>
      <c r="C68" s="5" t="s">
        <v>135</v>
      </c>
      <c r="D68" s="5" t="s">
        <v>136</v>
      </c>
      <c r="E68" s="10">
        <v>207989877</v>
      </c>
      <c r="F68" s="5" t="s">
        <v>18</v>
      </c>
      <c r="G68" s="5" t="s">
        <v>12</v>
      </c>
      <c r="H68" s="5" t="s">
        <v>13</v>
      </c>
      <c r="I68" s="5" t="s">
        <v>11</v>
      </c>
    </row>
    <row r="69" spans="1:9" s="12" customFormat="1" ht="38.25" customHeight="1" x14ac:dyDescent="0.15">
      <c r="A69" s="5">
        <v>68</v>
      </c>
      <c r="B69" s="7">
        <v>45126</v>
      </c>
      <c r="C69" s="5" t="s">
        <v>137</v>
      </c>
      <c r="D69" s="5" t="s">
        <v>235</v>
      </c>
      <c r="E69" s="10">
        <v>162000</v>
      </c>
      <c r="F69" s="5" t="s">
        <v>39</v>
      </c>
      <c r="G69" s="5" t="s">
        <v>24</v>
      </c>
      <c r="H69" s="5" t="s">
        <v>13</v>
      </c>
      <c r="I69" s="5" t="s">
        <v>25</v>
      </c>
    </row>
    <row r="70" spans="1:9" s="12" customFormat="1" ht="38.25" customHeight="1" x14ac:dyDescent="0.15">
      <c r="A70" s="5">
        <v>69</v>
      </c>
      <c r="B70" s="7">
        <v>45121</v>
      </c>
      <c r="C70" s="5" t="s">
        <v>138</v>
      </c>
      <c r="D70" s="5" t="s">
        <v>316</v>
      </c>
      <c r="E70" s="10">
        <v>258000</v>
      </c>
      <c r="F70" s="5" t="s">
        <v>47</v>
      </c>
      <c r="G70" s="5" t="s">
        <v>21</v>
      </c>
      <c r="H70" s="5" t="s">
        <v>21</v>
      </c>
      <c r="I70" s="5" t="s">
        <v>11</v>
      </c>
    </row>
    <row r="71" spans="1:9" s="12" customFormat="1" ht="38.25" customHeight="1" x14ac:dyDescent="0.15">
      <c r="A71" s="5">
        <v>70</v>
      </c>
      <c r="B71" s="7">
        <v>45115</v>
      </c>
      <c r="C71" s="5" t="s">
        <v>140</v>
      </c>
      <c r="D71" s="5" t="s">
        <v>236</v>
      </c>
      <c r="E71" s="10">
        <v>162000</v>
      </c>
      <c r="F71" s="5" t="s">
        <v>39</v>
      </c>
      <c r="G71" s="5" t="s">
        <v>24</v>
      </c>
      <c r="H71" s="5" t="s">
        <v>13</v>
      </c>
      <c r="I71" s="5" t="s">
        <v>25</v>
      </c>
    </row>
    <row r="72" spans="1:9" s="12" customFormat="1" ht="38.25" customHeight="1" x14ac:dyDescent="0.15">
      <c r="A72" s="5">
        <v>71</v>
      </c>
      <c r="B72" s="7">
        <v>45107</v>
      </c>
      <c r="C72" s="5" t="s">
        <v>141</v>
      </c>
      <c r="D72" s="5" t="s">
        <v>142</v>
      </c>
      <c r="E72" s="10">
        <v>10262000</v>
      </c>
      <c r="F72" s="5" t="s">
        <v>11</v>
      </c>
      <c r="G72" s="5" t="s">
        <v>12</v>
      </c>
      <c r="H72" s="5" t="s">
        <v>13</v>
      </c>
      <c r="I72" s="5" t="s">
        <v>11</v>
      </c>
    </row>
    <row r="73" spans="1:9" s="12" customFormat="1" ht="38.25" customHeight="1" x14ac:dyDescent="0.15">
      <c r="A73" s="5">
        <v>72</v>
      </c>
      <c r="B73" s="7">
        <v>45107</v>
      </c>
      <c r="C73" s="5" t="s">
        <v>143</v>
      </c>
      <c r="D73" s="5" t="s">
        <v>144</v>
      </c>
      <c r="E73" s="10">
        <v>166391888</v>
      </c>
      <c r="F73" s="5" t="s">
        <v>18</v>
      </c>
      <c r="G73" s="5" t="s">
        <v>12</v>
      </c>
      <c r="H73" s="5" t="s">
        <v>13</v>
      </c>
      <c r="I73" s="5" t="s">
        <v>11</v>
      </c>
    </row>
    <row r="74" spans="1:9" s="12" customFormat="1" ht="38.25" customHeight="1" x14ac:dyDescent="0.15">
      <c r="A74" s="5">
        <v>73</v>
      </c>
      <c r="B74" s="7">
        <v>45105</v>
      </c>
      <c r="C74" s="5" t="s">
        <v>145</v>
      </c>
      <c r="D74" s="5" t="s">
        <v>256</v>
      </c>
      <c r="E74" s="10">
        <v>1458</v>
      </c>
      <c r="F74" s="5" t="s">
        <v>27</v>
      </c>
      <c r="G74" s="5" t="s">
        <v>24</v>
      </c>
      <c r="H74" s="5" t="s">
        <v>13</v>
      </c>
      <c r="I74" s="5" t="s">
        <v>25</v>
      </c>
    </row>
    <row r="75" spans="1:9" s="12" customFormat="1" ht="38.25" customHeight="1" x14ac:dyDescent="0.15">
      <c r="A75" s="5">
        <v>74</v>
      </c>
      <c r="B75" s="7">
        <v>45104</v>
      </c>
      <c r="C75" s="5" t="s">
        <v>146</v>
      </c>
      <c r="D75" s="5" t="s">
        <v>288</v>
      </c>
      <c r="E75" s="10">
        <v>27243520</v>
      </c>
      <c r="F75" s="5" t="s">
        <v>29</v>
      </c>
      <c r="G75" s="5" t="s">
        <v>12</v>
      </c>
      <c r="H75" s="5" t="s">
        <v>13</v>
      </c>
      <c r="I75" s="5" t="s">
        <v>11</v>
      </c>
    </row>
    <row r="76" spans="1:9" s="12" customFormat="1" ht="38.25" customHeight="1" x14ac:dyDescent="0.15">
      <c r="A76" s="5">
        <v>75</v>
      </c>
      <c r="B76" s="7">
        <v>45098</v>
      </c>
      <c r="C76" s="5" t="s">
        <v>147</v>
      </c>
      <c r="D76" s="5" t="s">
        <v>237</v>
      </c>
      <c r="E76" s="10">
        <v>54000</v>
      </c>
      <c r="F76" s="5" t="s">
        <v>39</v>
      </c>
      <c r="G76" s="5" t="s">
        <v>24</v>
      </c>
      <c r="H76" s="5" t="s">
        <v>13</v>
      </c>
      <c r="I76" s="5" t="s">
        <v>25</v>
      </c>
    </row>
    <row r="77" spans="1:9" s="12" customFormat="1" ht="38.25" customHeight="1" x14ac:dyDescent="0.15">
      <c r="A77" s="5">
        <v>76</v>
      </c>
      <c r="B77" s="7">
        <v>45098</v>
      </c>
      <c r="C77" s="5" t="s">
        <v>148</v>
      </c>
      <c r="D77" s="5" t="s">
        <v>238</v>
      </c>
      <c r="E77" s="10">
        <v>162000</v>
      </c>
      <c r="F77" s="5" t="s">
        <v>39</v>
      </c>
      <c r="G77" s="5" t="s">
        <v>24</v>
      </c>
      <c r="H77" s="5" t="s">
        <v>13</v>
      </c>
      <c r="I77" s="5" t="s">
        <v>25</v>
      </c>
    </row>
    <row r="78" spans="1:9" s="12" customFormat="1" ht="38.25" customHeight="1" x14ac:dyDescent="0.15">
      <c r="A78" s="5">
        <v>77</v>
      </c>
      <c r="B78" s="7">
        <v>45080</v>
      </c>
      <c r="C78" s="5" t="s">
        <v>149</v>
      </c>
      <c r="D78" s="5" t="s">
        <v>150</v>
      </c>
      <c r="E78" s="10">
        <v>230000</v>
      </c>
      <c r="F78" s="5" t="s">
        <v>151</v>
      </c>
      <c r="G78" s="5" t="s">
        <v>12</v>
      </c>
      <c r="H78" s="5" t="s">
        <v>13</v>
      </c>
      <c r="I78" s="5" t="s">
        <v>11</v>
      </c>
    </row>
    <row r="79" spans="1:9" s="12" customFormat="1" ht="38.25" customHeight="1" x14ac:dyDescent="0.15">
      <c r="A79" s="5">
        <v>78</v>
      </c>
      <c r="B79" s="7">
        <v>45080</v>
      </c>
      <c r="C79" s="5" t="s">
        <v>152</v>
      </c>
      <c r="D79" s="5" t="s">
        <v>239</v>
      </c>
      <c r="E79" s="10">
        <v>235000</v>
      </c>
      <c r="F79" s="5" t="s">
        <v>39</v>
      </c>
      <c r="G79" s="5" t="s">
        <v>24</v>
      </c>
      <c r="H79" s="5" t="s">
        <v>13</v>
      </c>
      <c r="I79" s="5" t="s">
        <v>25</v>
      </c>
    </row>
    <row r="80" spans="1:9" s="12" customFormat="1" ht="38.25" customHeight="1" x14ac:dyDescent="0.15">
      <c r="A80" s="5">
        <v>79</v>
      </c>
      <c r="B80" s="7">
        <v>45077</v>
      </c>
      <c r="C80" s="5" t="s">
        <v>153</v>
      </c>
      <c r="D80" s="5" t="s">
        <v>154</v>
      </c>
      <c r="E80" s="10">
        <v>11774000</v>
      </c>
      <c r="F80" s="5" t="s">
        <v>11</v>
      </c>
      <c r="G80" s="5" t="s">
        <v>12</v>
      </c>
      <c r="H80" s="5" t="s">
        <v>13</v>
      </c>
      <c r="I80" s="5" t="s">
        <v>11</v>
      </c>
    </row>
    <row r="81" spans="1:9" s="12" customFormat="1" ht="38.25" customHeight="1" x14ac:dyDescent="0.15">
      <c r="A81" s="5">
        <v>80</v>
      </c>
      <c r="B81" s="7">
        <v>45077</v>
      </c>
      <c r="C81" s="5" t="s">
        <v>155</v>
      </c>
      <c r="D81" s="5" t="s">
        <v>156</v>
      </c>
      <c r="E81" s="10">
        <v>175706382</v>
      </c>
      <c r="F81" s="5" t="s">
        <v>18</v>
      </c>
      <c r="G81" s="5" t="s">
        <v>12</v>
      </c>
      <c r="H81" s="5" t="s">
        <v>13</v>
      </c>
      <c r="I81" s="5" t="s">
        <v>11</v>
      </c>
    </row>
    <row r="82" spans="1:9" s="12" customFormat="1" ht="38.25" customHeight="1" x14ac:dyDescent="0.15">
      <c r="A82" s="5">
        <v>81</v>
      </c>
      <c r="B82" s="7">
        <v>45077</v>
      </c>
      <c r="C82" s="5" t="s">
        <v>157</v>
      </c>
      <c r="D82" s="5" t="s">
        <v>318</v>
      </c>
      <c r="E82" s="10">
        <v>4785000</v>
      </c>
      <c r="F82" s="5" t="s">
        <v>159</v>
      </c>
      <c r="G82" s="5" t="s">
        <v>51</v>
      </c>
      <c r="H82" s="5" t="s">
        <v>51</v>
      </c>
      <c r="I82" s="5" t="s">
        <v>11</v>
      </c>
    </row>
    <row r="83" spans="1:9" s="12" customFormat="1" ht="38.25" customHeight="1" x14ac:dyDescent="0.15">
      <c r="A83" s="5">
        <v>82</v>
      </c>
      <c r="B83" s="7">
        <v>45076</v>
      </c>
      <c r="C83" s="5" t="s">
        <v>160</v>
      </c>
      <c r="D83" s="5" t="s">
        <v>289</v>
      </c>
      <c r="E83" s="10">
        <v>27243520</v>
      </c>
      <c r="F83" s="5" t="s">
        <v>29</v>
      </c>
      <c r="G83" s="5" t="s">
        <v>12</v>
      </c>
      <c r="H83" s="5" t="s">
        <v>13</v>
      </c>
      <c r="I83" s="5" t="s">
        <v>11</v>
      </c>
    </row>
    <row r="84" spans="1:9" s="12" customFormat="1" ht="38.25" customHeight="1" x14ac:dyDescent="0.15">
      <c r="A84" s="5">
        <v>83</v>
      </c>
      <c r="B84" s="7">
        <v>45073</v>
      </c>
      <c r="C84" s="5" t="s">
        <v>161</v>
      </c>
      <c r="D84" s="5" t="s">
        <v>319</v>
      </c>
      <c r="E84" s="10">
        <v>1650000</v>
      </c>
      <c r="F84" s="5" t="s">
        <v>159</v>
      </c>
      <c r="G84" s="5" t="s">
        <v>51</v>
      </c>
      <c r="H84" s="5" t="s">
        <v>51</v>
      </c>
      <c r="I84" s="5" t="s">
        <v>11</v>
      </c>
    </row>
    <row r="85" spans="1:9" s="12" customFormat="1" ht="38.25" customHeight="1" x14ac:dyDescent="0.15">
      <c r="A85" s="5">
        <v>84</v>
      </c>
      <c r="B85" s="7">
        <v>45072</v>
      </c>
      <c r="C85" s="5" t="s">
        <v>163</v>
      </c>
      <c r="D85" s="5" t="s">
        <v>300</v>
      </c>
      <c r="E85" s="10">
        <v>8040000</v>
      </c>
      <c r="F85" s="5" t="s">
        <v>164</v>
      </c>
      <c r="G85" s="5" t="s">
        <v>21</v>
      </c>
      <c r="H85" s="5" t="s">
        <v>21</v>
      </c>
      <c r="I85" s="5" t="s">
        <v>11</v>
      </c>
    </row>
    <row r="86" spans="1:9" s="12" customFormat="1" ht="38.25" customHeight="1" x14ac:dyDescent="0.15">
      <c r="A86" s="5">
        <v>85</v>
      </c>
      <c r="B86" s="7">
        <v>45071</v>
      </c>
      <c r="C86" s="5" t="s">
        <v>165</v>
      </c>
      <c r="D86" s="5" t="s">
        <v>320</v>
      </c>
      <c r="E86" s="10">
        <v>2100000</v>
      </c>
      <c r="F86" s="5" t="s">
        <v>47</v>
      </c>
      <c r="G86" s="5" t="s">
        <v>21</v>
      </c>
      <c r="H86" s="5" t="s">
        <v>21</v>
      </c>
      <c r="I86" s="5" t="s">
        <v>11</v>
      </c>
    </row>
    <row r="87" spans="1:9" s="12" customFormat="1" ht="38.25" customHeight="1" x14ac:dyDescent="0.15">
      <c r="A87" s="5">
        <v>86</v>
      </c>
      <c r="B87" s="7">
        <v>45064</v>
      </c>
      <c r="C87" s="5" t="s">
        <v>167</v>
      </c>
      <c r="D87" s="5" t="s">
        <v>240</v>
      </c>
      <c r="E87" s="10">
        <v>94000</v>
      </c>
      <c r="F87" s="5" t="s">
        <v>39</v>
      </c>
      <c r="G87" s="5" t="s">
        <v>24</v>
      </c>
      <c r="H87" s="5" t="s">
        <v>13</v>
      </c>
      <c r="I87" s="5" t="s">
        <v>25</v>
      </c>
    </row>
    <row r="88" spans="1:9" s="12" customFormat="1" ht="38.25" customHeight="1" x14ac:dyDescent="0.15">
      <c r="A88" s="5">
        <v>87</v>
      </c>
      <c r="B88" s="7">
        <v>45058</v>
      </c>
      <c r="C88" s="5" t="s">
        <v>168</v>
      </c>
      <c r="D88" s="5" t="s">
        <v>272</v>
      </c>
      <c r="E88" s="10">
        <v>43808</v>
      </c>
      <c r="F88" s="5" t="s">
        <v>59</v>
      </c>
      <c r="G88" s="5" t="s">
        <v>24</v>
      </c>
      <c r="H88" s="5" t="s">
        <v>13</v>
      </c>
      <c r="I88" s="5" t="s">
        <v>25</v>
      </c>
    </row>
    <row r="89" spans="1:9" s="12" customFormat="1" ht="38.25" customHeight="1" x14ac:dyDescent="0.15">
      <c r="A89" s="5">
        <v>88</v>
      </c>
      <c r="B89" s="7">
        <v>45055</v>
      </c>
      <c r="C89" s="5" t="s">
        <v>169</v>
      </c>
      <c r="D89" s="5" t="s">
        <v>241</v>
      </c>
      <c r="E89" s="10">
        <v>94000</v>
      </c>
      <c r="F89" s="5" t="s">
        <v>39</v>
      </c>
      <c r="G89" s="5" t="s">
        <v>24</v>
      </c>
      <c r="H89" s="5" t="s">
        <v>13</v>
      </c>
      <c r="I89" s="5" t="s">
        <v>25</v>
      </c>
    </row>
    <row r="90" spans="1:9" s="12" customFormat="1" ht="38.25" customHeight="1" x14ac:dyDescent="0.15">
      <c r="A90" s="5">
        <v>89</v>
      </c>
      <c r="B90" s="7">
        <v>45046</v>
      </c>
      <c r="C90" s="5" t="s">
        <v>170</v>
      </c>
      <c r="D90" s="5" t="s">
        <v>171</v>
      </c>
      <c r="E90" s="10">
        <v>10430000</v>
      </c>
      <c r="F90" s="5" t="s">
        <v>11</v>
      </c>
      <c r="G90" s="5" t="s">
        <v>12</v>
      </c>
      <c r="H90" s="5" t="s">
        <v>13</v>
      </c>
      <c r="I90" s="5" t="s">
        <v>11</v>
      </c>
    </row>
    <row r="91" spans="1:9" s="12" customFormat="1" ht="38.25" customHeight="1" x14ac:dyDescent="0.15">
      <c r="A91" s="5">
        <v>90</v>
      </c>
      <c r="B91" s="7">
        <v>45046</v>
      </c>
      <c r="C91" s="5" t="s">
        <v>172</v>
      </c>
      <c r="D91" s="5" t="s">
        <v>173</v>
      </c>
      <c r="E91" s="10">
        <v>172409391</v>
      </c>
      <c r="F91" s="5" t="s">
        <v>18</v>
      </c>
      <c r="G91" s="5" t="s">
        <v>12</v>
      </c>
      <c r="H91" s="5" t="s">
        <v>13</v>
      </c>
      <c r="I91" s="5" t="s">
        <v>11</v>
      </c>
    </row>
    <row r="92" spans="1:9" s="12" customFormat="1" ht="38.25" customHeight="1" x14ac:dyDescent="0.15">
      <c r="A92" s="5">
        <v>91</v>
      </c>
      <c r="B92" s="7">
        <v>45044</v>
      </c>
      <c r="C92" s="5" t="s">
        <v>174</v>
      </c>
      <c r="D92" s="5" t="s">
        <v>273</v>
      </c>
      <c r="E92" s="10">
        <v>73058</v>
      </c>
      <c r="F92" s="5" t="s">
        <v>59</v>
      </c>
      <c r="G92" s="5" t="s">
        <v>24</v>
      </c>
      <c r="H92" s="5" t="s">
        <v>13</v>
      </c>
      <c r="I92" s="5" t="s">
        <v>25</v>
      </c>
    </row>
    <row r="93" spans="1:9" s="12" customFormat="1" ht="38.25" customHeight="1" x14ac:dyDescent="0.15">
      <c r="A93" s="5">
        <v>92</v>
      </c>
      <c r="B93" s="7">
        <v>45043</v>
      </c>
      <c r="C93" s="5" t="s">
        <v>175</v>
      </c>
      <c r="D93" s="5" t="s">
        <v>290</v>
      </c>
      <c r="E93" s="10">
        <v>20833280</v>
      </c>
      <c r="F93" s="5" t="s">
        <v>29</v>
      </c>
      <c r="G93" s="5" t="s">
        <v>12</v>
      </c>
      <c r="H93" s="5" t="s">
        <v>13</v>
      </c>
      <c r="I93" s="5" t="s">
        <v>11</v>
      </c>
    </row>
    <row r="94" spans="1:9" s="12" customFormat="1" ht="38.25" customHeight="1" x14ac:dyDescent="0.15">
      <c r="A94" s="5">
        <v>93</v>
      </c>
      <c r="B94" s="7">
        <v>45042</v>
      </c>
      <c r="C94" s="5" t="s">
        <v>176</v>
      </c>
      <c r="D94" s="5" t="s">
        <v>321</v>
      </c>
      <c r="E94" s="10">
        <v>2890000</v>
      </c>
      <c r="F94" s="5" t="s">
        <v>70</v>
      </c>
      <c r="G94" s="5" t="s">
        <v>51</v>
      </c>
      <c r="H94" s="5" t="s">
        <v>51</v>
      </c>
      <c r="I94" s="5" t="s">
        <v>11</v>
      </c>
    </row>
    <row r="95" spans="1:9" s="12" customFormat="1" ht="38.25" customHeight="1" x14ac:dyDescent="0.15">
      <c r="A95" s="5">
        <v>94</v>
      </c>
      <c r="B95" s="7">
        <v>45041</v>
      </c>
      <c r="C95" s="5" t="s">
        <v>178</v>
      </c>
      <c r="D95" s="5" t="s">
        <v>322</v>
      </c>
      <c r="E95" s="10">
        <v>798000</v>
      </c>
      <c r="F95" s="5" t="s">
        <v>70</v>
      </c>
      <c r="G95" s="5" t="s">
        <v>51</v>
      </c>
      <c r="H95" s="5" t="s">
        <v>51</v>
      </c>
      <c r="I95" s="5" t="s">
        <v>11</v>
      </c>
    </row>
    <row r="96" spans="1:9" s="12" customFormat="1" ht="38.25" customHeight="1" x14ac:dyDescent="0.15">
      <c r="A96" s="5">
        <v>95</v>
      </c>
      <c r="B96" s="7">
        <v>45041</v>
      </c>
      <c r="C96" s="5" t="s">
        <v>180</v>
      </c>
      <c r="D96" s="5" t="s">
        <v>323</v>
      </c>
      <c r="E96" s="10">
        <v>2890000</v>
      </c>
      <c r="F96" s="5" t="s">
        <v>70</v>
      </c>
      <c r="G96" s="5" t="s">
        <v>51</v>
      </c>
      <c r="H96" s="5" t="s">
        <v>51</v>
      </c>
      <c r="I96" s="5" t="s">
        <v>11</v>
      </c>
    </row>
    <row r="97" spans="1:9" s="12" customFormat="1" ht="38.25" customHeight="1" x14ac:dyDescent="0.15">
      <c r="A97" s="5">
        <v>96</v>
      </c>
      <c r="B97" s="7">
        <v>45041</v>
      </c>
      <c r="C97" s="5" t="s">
        <v>182</v>
      </c>
      <c r="D97" s="5" t="s">
        <v>324</v>
      </c>
      <c r="E97" s="10">
        <v>2890000</v>
      </c>
      <c r="F97" s="5" t="s">
        <v>70</v>
      </c>
      <c r="G97" s="5" t="s">
        <v>51</v>
      </c>
      <c r="H97" s="5" t="s">
        <v>51</v>
      </c>
      <c r="I97" s="5" t="s">
        <v>11</v>
      </c>
    </row>
    <row r="98" spans="1:9" s="12" customFormat="1" ht="38.25" customHeight="1" x14ac:dyDescent="0.15">
      <c r="A98" s="5">
        <v>97</v>
      </c>
      <c r="B98" s="7">
        <v>45039</v>
      </c>
      <c r="C98" s="5" t="s">
        <v>184</v>
      </c>
      <c r="D98" s="5" t="s">
        <v>274</v>
      </c>
      <c r="E98" s="10">
        <v>62065</v>
      </c>
      <c r="F98" s="5" t="s">
        <v>59</v>
      </c>
      <c r="G98" s="5" t="s">
        <v>24</v>
      </c>
      <c r="H98" s="5" t="s">
        <v>13</v>
      </c>
      <c r="I98" s="5" t="s">
        <v>25</v>
      </c>
    </row>
    <row r="99" spans="1:9" s="12" customFormat="1" ht="38.25" customHeight="1" x14ac:dyDescent="0.15">
      <c r="A99" s="5">
        <v>98</v>
      </c>
      <c r="B99" s="7">
        <v>45035</v>
      </c>
      <c r="C99" s="5" t="s">
        <v>185</v>
      </c>
      <c r="D99" s="5" t="s">
        <v>242</v>
      </c>
      <c r="E99" s="10">
        <v>240000</v>
      </c>
      <c r="F99" s="5" t="s">
        <v>39</v>
      </c>
      <c r="G99" s="5" t="s">
        <v>24</v>
      </c>
      <c r="H99" s="5" t="s">
        <v>13</v>
      </c>
      <c r="I99" s="5" t="s">
        <v>25</v>
      </c>
    </row>
    <row r="100" spans="1:9" s="12" customFormat="1" ht="38.25" customHeight="1" x14ac:dyDescent="0.15">
      <c r="A100" s="5">
        <v>99</v>
      </c>
      <c r="B100" s="7">
        <v>45016</v>
      </c>
      <c r="C100" s="5" t="s">
        <v>186</v>
      </c>
      <c r="D100" s="5" t="s">
        <v>187</v>
      </c>
      <c r="E100" s="10">
        <v>10416000</v>
      </c>
      <c r="F100" s="5" t="s">
        <v>11</v>
      </c>
      <c r="G100" s="5" t="s">
        <v>12</v>
      </c>
      <c r="H100" s="5" t="s">
        <v>13</v>
      </c>
      <c r="I100" s="5" t="s">
        <v>11</v>
      </c>
    </row>
    <row r="101" spans="1:9" s="12" customFormat="1" ht="38.25" customHeight="1" x14ac:dyDescent="0.15">
      <c r="A101" s="5">
        <v>100</v>
      </c>
      <c r="B101" s="7">
        <v>45016</v>
      </c>
      <c r="C101" s="5" t="s">
        <v>188</v>
      </c>
      <c r="D101" s="5" t="s">
        <v>189</v>
      </c>
      <c r="E101" s="10">
        <v>159122400</v>
      </c>
      <c r="F101" s="5" t="s">
        <v>18</v>
      </c>
      <c r="G101" s="5" t="s">
        <v>12</v>
      </c>
      <c r="H101" s="5" t="s">
        <v>13</v>
      </c>
      <c r="I101" s="5" t="s">
        <v>11</v>
      </c>
    </row>
    <row r="102" spans="1:9" s="12" customFormat="1" ht="38.25" customHeight="1" x14ac:dyDescent="0.15">
      <c r="A102" s="5">
        <v>101</v>
      </c>
      <c r="B102" s="7">
        <v>45016</v>
      </c>
      <c r="C102" s="5" t="s">
        <v>190</v>
      </c>
      <c r="D102" s="5" t="s">
        <v>275</v>
      </c>
      <c r="E102" s="10">
        <v>49370</v>
      </c>
      <c r="F102" s="5" t="s">
        <v>59</v>
      </c>
      <c r="G102" s="5" t="s">
        <v>24</v>
      </c>
      <c r="H102" s="5" t="s">
        <v>13</v>
      </c>
      <c r="I102" s="5" t="s">
        <v>25</v>
      </c>
    </row>
    <row r="103" spans="1:9" s="12" customFormat="1" ht="38.25" customHeight="1" x14ac:dyDescent="0.15">
      <c r="A103" s="5">
        <v>102</v>
      </c>
      <c r="B103" s="7">
        <v>45010</v>
      </c>
      <c r="C103" s="5" t="s">
        <v>191</v>
      </c>
      <c r="D103" s="5" t="s">
        <v>325</v>
      </c>
      <c r="E103" s="10">
        <v>12090000</v>
      </c>
      <c r="F103" s="5" t="s">
        <v>70</v>
      </c>
      <c r="G103" s="5" t="s">
        <v>51</v>
      </c>
      <c r="H103" s="5" t="s">
        <v>51</v>
      </c>
      <c r="I103" s="5" t="s">
        <v>11</v>
      </c>
    </row>
    <row r="104" spans="1:9" s="12" customFormat="1" ht="38.25" customHeight="1" x14ac:dyDescent="0.15">
      <c r="A104" s="5">
        <v>103</v>
      </c>
      <c r="B104" s="7">
        <v>45005</v>
      </c>
      <c r="C104" s="5" t="s">
        <v>193</v>
      </c>
      <c r="D104" s="5" t="s">
        <v>243</v>
      </c>
      <c r="E104" s="10">
        <v>141000</v>
      </c>
      <c r="F104" s="5" t="s">
        <v>39</v>
      </c>
      <c r="G104" s="5" t="s">
        <v>24</v>
      </c>
      <c r="H104" s="5" t="s">
        <v>13</v>
      </c>
      <c r="I104" s="5" t="s">
        <v>25</v>
      </c>
    </row>
    <row r="105" spans="1:9" s="12" customFormat="1" ht="38.25" customHeight="1" x14ac:dyDescent="0.15">
      <c r="A105" s="5">
        <v>104</v>
      </c>
      <c r="B105" s="7">
        <v>45003</v>
      </c>
      <c r="C105" s="5" t="s">
        <v>194</v>
      </c>
      <c r="D105" s="5" t="s">
        <v>276</v>
      </c>
      <c r="E105" s="10">
        <v>37011</v>
      </c>
      <c r="F105" s="5" t="s">
        <v>59</v>
      </c>
      <c r="G105" s="5" t="s">
        <v>24</v>
      </c>
      <c r="H105" s="5" t="s">
        <v>13</v>
      </c>
      <c r="I105" s="5" t="s">
        <v>25</v>
      </c>
    </row>
    <row r="106" spans="1:9" s="12" customFormat="1" ht="38.25" customHeight="1" x14ac:dyDescent="0.15">
      <c r="A106" s="5">
        <v>105</v>
      </c>
      <c r="B106" s="7">
        <v>44998</v>
      </c>
      <c r="C106" s="5" t="s">
        <v>195</v>
      </c>
      <c r="D106" s="5" t="s">
        <v>277</v>
      </c>
      <c r="E106" s="10">
        <v>50194</v>
      </c>
      <c r="F106" s="5" t="s">
        <v>59</v>
      </c>
      <c r="G106" s="5" t="s">
        <v>24</v>
      </c>
      <c r="H106" s="5" t="s">
        <v>13</v>
      </c>
      <c r="I106" s="5" t="s">
        <v>25</v>
      </c>
    </row>
    <row r="107" spans="1:9" s="12" customFormat="1" ht="38.25" customHeight="1" x14ac:dyDescent="0.15">
      <c r="A107" s="5">
        <v>106</v>
      </c>
      <c r="B107" s="7">
        <v>44994</v>
      </c>
      <c r="C107" s="5" t="s">
        <v>196</v>
      </c>
      <c r="D107" s="5" t="s">
        <v>301</v>
      </c>
      <c r="E107" s="10">
        <v>3675000</v>
      </c>
      <c r="F107" s="5" t="s">
        <v>197</v>
      </c>
      <c r="G107" s="5" t="s">
        <v>21</v>
      </c>
      <c r="H107" s="5" t="s">
        <v>21</v>
      </c>
      <c r="I107" s="5" t="s">
        <v>11</v>
      </c>
    </row>
    <row r="108" spans="1:9" s="12" customFormat="1" ht="38.25" customHeight="1" x14ac:dyDescent="0.15">
      <c r="A108" s="5">
        <v>107</v>
      </c>
      <c r="B108" s="7">
        <v>44992</v>
      </c>
      <c r="C108" s="5" t="s">
        <v>198</v>
      </c>
      <c r="D108" s="5" t="s">
        <v>291</v>
      </c>
      <c r="E108" s="10">
        <v>30674000</v>
      </c>
      <c r="F108" s="5" t="s">
        <v>29</v>
      </c>
      <c r="G108" s="5" t="s">
        <v>12</v>
      </c>
      <c r="H108" s="5" t="s">
        <v>13</v>
      </c>
      <c r="I108" s="5" t="s">
        <v>11</v>
      </c>
    </row>
    <row r="109" spans="1:9" s="12" customFormat="1" ht="38.25" customHeight="1" x14ac:dyDescent="0.15">
      <c r="A109" s="5">
        <v>108</v>
      </c>
      <c r="B109" s="7">
        <v>44992</v>
      </c>
      <c r="C109" s="5" t="s">
        <v>199</v>
      </c>
      <c r="D109" s="5" t="s">
        <v>257</v>
      </c>
      <c r="E109" s="10">
        <v>6120000</v>
      </c>
      <c r="F109" s="5" t="s">
        <v>27</v>
      </c>
      <c r="G109" s="5" t="s">
        <v>24</v>
      </c>
      <c r="H109" s="5" t="s">
        <v>13</v>
      </c>
      <c r="I109" s="5" t="s">
        <v>25</v>
      </c>
    </row>
    <row r="110" spans="1:9" s="12" customFormat="1" ht="38.25" customHeight="1" x14ac:dyDescent="0.15">
      <c r="A110" s="5">
        <v>109</v>
      </c>
      <c r="B110" s="7">
        <v>44988</v>
      </c>
      <c r="C110" s="5" t="s">
        <v>200</v>
      </c>
      <c r="D110" s="5" t="s">
        <v>244</v>
      </c>
      <c r="E110" s="10">
        <v>175000</v>
      </c>
      <c r="F110" s="5" t="s">
        <v>39</v>
      </c>
      <c r="G110" s="5" t="s">
        <v>24</v>
      </c>
      <c r="H110" s="5" t="s">
        <v>13</v>
      </c>
      <c r="I110" s="5" t="s">
        <v>25</v>
      </c>
    </row>
    <row r="111" spans="1:9" s="12" customFormat="1" ht="38.25" customHeight="1" x14ac:dyDescent="0.15">
      <c r="A111" s="5">
        <v>110</v>
      </c>
      <c r="B111" s="7">
        <v>44986</v>
      </c>
      <c r="C111" s="5" t="s">
        <v>201</v>
      </c>
      <c r="D111" s="5" t="s">
        <v>261</v>
      </c>
      <c r="E111" s="10">
        <v>1890000</v>
      </c>
      <c r="F111" s="5" t="s">
        <v>202</v>
      </c>
      <c r="G111" s="5" t="s">
        <v>21</v>
      </c>
      <c r="H111" s="5" t="s">
        <v>21</v>
      </c>
      <c r="I111" s="5" t="s">
        <v>11</v>
      </c>
    </row>
    <row r="112" spans="1:9" s="12" customFormat="1" ht="38.25" customHeight="1" x14ac:dyDescent="0.15">
      <c r="A112" s="5">
        <v>111</v>
      </c>
      <c r="B112" s="7">
        <v>44985</v>
      </c>
      <c r="C112" s="5" t="s">
        <v>203</v>
      </c>
      <c r="D112" s="5" t="s">
        <v>204</v>
      </c>
      <c r="E112" s="10">
        <v>11592000</v>
      </c>
      <c r="F112" s="5" t="s">
        <v>11</v>
      </c>
      <c r="G112" s="5" t="s">
        <v>12</v>
      </c>
      <c r="H112" s="5" t="s">
        <v>13</v>
      </c>
      <c r="I112" s="5" t="s">
        <v>11</v>
      </c>
    </row>
    <row r="113" spans="1:9" s="12" customFormat="1" ht="38.25" customHeight="1" x14ac:dyDescent="0.15">
      <c r="A113" s="5">
        <v>112</v>
      </c>
      <c r="B113" s="7">
        <v>44985</v>
      </c>
      <c r="C113" s="5" t="s">
        <v>205</v>
      </c>
      <c r="D113" s="5" t="s">
        <v>206</v>
      </c>
      <c r="E113" s="10">
        <v>208389873</v>
      </c>
      <c r="F113" s="5" t="s">
        <v>18</v>
      </c>
      <c r="G113" s="5" t="s">
        <v>12</v>
      </c>
      <c r="H113" s="5" t="s">
        <v>13</v>
      </c>
      <c r="I113" s="5" t="s">
        <v>11</v>
      </c>
    </row>
    <row r="114" spans="1:9" s="12" customFormat="1" ht="38.25" customHeight="1" x14ac:dyDescent="0.15">
      <c r="A114" s="5">
        <v>113</v>
      </c>
      <c r="B114" s="7">
        <v>44981</v>
      </c>
      <c r="C114" s="5" t="s">
        <v>207</v>
      </c>
      <c r="D114" s="5" t="s">
        <v>258</v>
      </c>
      <c r="E114" s="10">
        <v>1080000</v>
      </c>
      <c r="F114" s="5" t="s">
        <v>27</v>
      </c>
      <c r="G114" s="5" t="s">
        <v>24</v>
      </c>
      <c r="H114" s="5" t="s">
        <v>13</v>
      </c>
      <c r="I114" s="5" t="s">
        <v>25</v>
      </c>
    </row>
    <row r="115" spans="1:9" s="12" customFormat="1" ht="38.25" customHeight="1" x14ac:dyDescent="0.15">
      <c r="A115" s="5">
        <v>114</v>
      </c>
      <c r="B115" s="7">
        <v>44976</v>
      </c>
      <c r="C115" s="5" t="s">
        <v>208</v>
      </c>
      <c r="D115" s="5" t="s">
        <v>245</v>
      </c>
      <c r="E115" s="10">
        <v>210000</v>
      </c>
      <c r="F115" s="5" t="s">
        <v>39</v>
      </c>
      <c r="G115" s="5" t="s">
        <v>24</v>
      </c>
      <c r="H115" s="5" t="s">
        <v>13</v>
      </c>
      <c r="I115" s="5" t="s">
        <v>25</v>
      </c>
    </row>
    <row r="116" spans="1:9" s="12" customFormat="1" ht="38.25" customHeight="1" x14ac:dyDescent="0.15">
      <c r="A116" s="5">
        <v>115</v>
      </c>
      <c r="B116" s="7">
        <v>44973</v>
      </c>
      <c r="C116" s="5" t="s">
        <v>209</v>
      </c>
      <c r="D116" s="5" t="s">
        <v>292</v>
      </c>
      <c r="E116" s="10">
        <v>30448640</v>
      </c>
      <c r="F116" s="5" t="s">
        <v>29</v>
      </c>
      <c r="G116" s="5" t="s">
        <v>12</v>
      </c>
      <c r="H116" s="5" t="s">
        <v>13</v>
      </c>
      <c r="I116" s="5" t="s">
        <v>11</v>
      </c>
    </row>
    <row r="117" spans="1:9" s="12" customFormat="1" ht="38.25" customHeight="1" x14ac:dyDescent="0.15">
      <c r="A117" s="5">
        <v>116</v>
      </c>
      <c r="B117" s="7">
        <v>44973</v>
      </c>
      <c r="C117" s="5" t="s">
        <v>210</v>
      </c>
      <c r="D117" s="5" t="s">
        <v>278</v>
      </c>
      <c r="E117" s="10">
        <v>46034</v>
      </c>
      <c r="F117" s="5" t="s">
        <v>59</v>
      </c>
      <c r="G117" s="5" t="s">
        <v>24</v>
      </c>
      <c r="H117" s="5" t="s">
        <v>13</v>
      </c>
      <c r="I117" s="5" t="s">
        <v>25</v>
      </c>
    </row>
    <row r="118" spans="1:9" s="12" customFormat="1" ht="38.25" customHeight="1" x14ac:dyDescent="0.15">
      <c r="A118" s="5">
        <v>117</v>
      </c>
      <c r="B118" s="7">
        <v>44972</v>
      </c>
      <c r="C118" s="5" t="s">
        <v>211</v>
      </c>
      <c r="D118" s="5" t="s">
        <v>302</v>
      </c>
      <c r="E118" s="10">
        <v>2000000</v>
      </c>
      <c r="F118" s="5" t="s">
        <v>212</v>
      </c>
      <c r="G118" s="5" t="s">
        <v>24</v>
      </c>
      <c r="H118" s="5" t="s">
        <v>13</v>
      </c>
      <c r="I118" s="5" t="s">
        <v>25</v>
      </c>
    </row>
    <row r="119" spans="1:9" s="12" customFormat="1" ht="38.25" customHeight="1" x14ac:dyDescent="0.15">
      <c r="A119" s="5">
        <v>118</v>
      </c>
      <c r="B119" s="7">
        <v>44972</v>
      </c>
      <c r="C119" s="5" t="s">
        <v>213</v>
      </c>
      <c r="D119" s="5" t="s">
        <v>326</v>
      </c>
      <c r="E119" s="10">
        <v>2748000</v>
      </c>
      <c r="F119" s="5" t="s">
        <v>121</v>
      </c>
      <c r="G119" s="5" t="s">
        <v>21</v>
      </c>
      <c r="H119" s="5" t="s">
        <v>21</v>
      </c>
      <c r="I119" s="5" t="s">
        <v>11</v>
      </c>
    </row>
    <row r="120" spans="1:9" s="12" customFormat="1" ht="38.25" customHeight="1" x14ac:dyDescent="0.15">
      <c r="A120" s="5">
        <v>119</v>
      </c>
      <c r="B120" s="7">
        <v>44971</v>
      </c>
      <c r="C120" s="5" t="s">
        <v>215</v>
      </c>
      <c r="D120" s="5" t="s">
        <v>279</v>
      </c>
      <c r="E120" s="10">
        <v>80533</v>
      </c>
      <c r="F120" s="5" t="s">
        <v>59</v>
      </c>
      <c r="G120" s="5" t="s">
        <v>24</v>
      </c>
      <c r="H120" s="5" t="s">
        <v>13</v>
      </c>
      <c r="I120" s="5" t="s">
        <v>25</v>
      </c>
    </row>
    <row r="121" spans="1:9" s="12" customFormat="1" ht="38.25" customHeight="1" x14ac:dyDescent="0.15">
      <c r="A121" s="5">
        <v>120</v>
      </c>
      <c r="B121" s="7">
        <v>44967</v>
      </c>
      <c r="C121" s="5" t="s">
        <v>216</v>
      </c>
      <c r="D121" s="5" t="s">
        <v>280</v>
      </c>
      <c r="E121" s="10">
        <v>62227</v>
      </c>
      <c r="F121" s="5" t="s">
        <v>59</v>
      </c>
      <c r="G121" s="5" t="s">
        <v>24</v>
      </c>
      <c r="H121" s="5" t="s">
        <v>13</v>
      </c>
      <c r="I121" s="5" t="s">
        <v>25</v>
      </c>
    </row>
    <row r="122" spans="1:9" s="12" customFormat="1" ht="38.25" customHeight="1" x14ac:dyDescent="0.15">
      <c r="A122" s="5">
        <v>121</v>
      </c>
      <c r="B122" s="7">
        <v>44963</v>
      </c>
      <c r="C122" s="5" t="s">
        <v>217</v>
      </c>
      <c r="D122" s="5" t="s">
        <v>246</v>
      </c>
      <c r="E122" s="10">
        <v>35000</v>
      </c>
      <c r="F122" s="5" t="s">
        <v>39</v>
      </c>
      <c r="G122" s="5" t="s">
        <v>24</v>
      </c>
      <c r="H122" s="5" t="s">
        <v>13</v>
      </c>
      <c r="I122" s="5" t="s">
        <v>25</v>
      </c>
    </row>
    <row r="123" spans="1:9" s="12" customFormat="1" ht="38.25" customHeight="1" x14ac:dyDescent="0.15">
      <c r="A123" s="5">
        <v>122</v>
      </c>
      <c r="B123" s="7">
        <v>44961</v>
      </c>
      <c r="C123" s="5" t="s">
        <v>218</v>
      </c>
      <c r="D123" s="5" t="s">
        <v>249</v>
      </c>
      <c r="E123" s="10">
        <v>9490000</v>
      </c>
      <c r="F123" s="5" t="s">
        <v>219</v>
      </c>
      <c r="G123" s="5" t="s">
        <v>51</v>
      </c>
      <c r="H123" s="5" t="s">
        <v>51</v>
      </c>
      <c r="I123" s="5" t="s">
        <v>11</v>
      </c>
    </row>
    <row r="124" spans="1:9" s="12" customFormat="1" ht="38.25" customHeight="1" x14ac:dyDescent="0.15">
      <c r="A124" s="5">
        <v>123</v>
      </c>
      <c r="B124" s="7">
        <v>44960</v>
      </c>
      <c r="C124" s="5" t="s">
        <v>220</v>
      </c>
      <c r="D124" s="5" t="s">
        <v>247</v>
      </c>
      <c r="E124" s="10">
        <v>105000</v>
      </c>
      <c r="F124" s="5" t="s">
        <v>39</v>
      </c>
      <c r="G124" s="5" t="s">
        <v>24</v>
      </c>
      <c r="H124" s="5" t="s">
        <v>13</v>
      </c>
      <c r="I124" s="5" t="s">
        <v>25</v>
      </c>
    </row>
    <row r="125" spans="1:9" s="12" customFormat="1" ht="38.25" customHeight="1" x14ac:dyDescent="0.15">
      <c r="A125" s="5">
        <v>124</v>
      </c>
      <c r="B125" s="7">
        <v>44957</v>
      </c>
      <c r="C125" s="5" t="s">
        <v>221</v>
      </c>
      <c r="D125" s="5" t="s">
        <v>222</v>
      </c>
      <c r="E125" s="10">
        <v>12754000</v>
      </c>
      <c r="F125" s="5" t="s">
        <v>11</v>
      </c>
      <c r="G125" s="5" t="s">
        <v>12</v>
      </c>
      <c r="H125" s="5" t="s">
        <v>13</v>
      </c>
      <c r="I125" s="5" t="s">
        <v>11</v>
      </c>
    </row>
    <row r="126" spans="1:9" s="12" customFormat="1" ht="38.25" customHeight="1" x14ac:dyDescent="0.15">
      <c r="A126" s="5">
        <v>125</v>
      </c>
      <c r="B126" s="7">
        <v>44957</v>
      </c>
      <c r="C126" s="5" t="s">
        <v>223</v>
      </c>
      <c r="D126" s="5" t="s">
        <v>224</v>
      </c>
      <c r="E126" s="10">
        <v>170153540</v>
      </c>
      <c r="F126" s="5" t="s">
        <v>18</v>
      </c>
      <c r="G126" s="5" t="s">
        <v>12</v>
      </c>
      <c r="H126" s="5" t="s">
        <v>13</v>
      </c>
      <c r="I126" s="5" t="s">
        <v>11</v>
      </c>
    </row>
    <row r="127" spans="1:9" s="12" customFormat="1" ht="38.25" customHeight="1" x14ac:dyDescent="0.15">
      <c r="A127" s="5">
        <v>126</v>
      </c>
      <c r="B127" s="7">
        <v>44942</v>
      </c>
      <c r="C127" s="5" t="s">
        <v>225</v>
      </c>
      <c r="D127" s="5" t="s">
        <v>259</v>
      </c>
      <c r="E127" s="10">
        <v>648000</v>
      </c>
      <c r="F127" s="5" t="s">
        <v>27</v>
      </c>
      <c r="G127" s="5" t="s">
        <v>24</v>
      </c>
      <c r="H127" s="5" t="s">
        <v>13</v>
      </c>
      <c r="I127" s="5" t="s">
        <v>25</v>
      </c>
    </row>
    <row r="128" spans="1:9" s="12" customFormat="1" ht="38.25" customHeight="1" x14ac:dyDescent="0.15">
      <c r="A128" s="5">
        <v>127</v>
      </c>
      <c r="B128" s="7">
        <v>44931</v>
      </c>
      <c r="C128" s="5" t="s">
        <v>226</v>
      </c>
      <c r="D128" s="5" t="s">
        <v>248</v>
      </c>
      <c r="E128" s="10">
        <v>105000</v>
      </c>
      <c r="F128" s="5" t="s">
        <v>39</v>
      </c>
      <c r="G128" s="5" t="s">
        <v>24</v>
      </c>
      <c r="H128" s="5" t="s">
        <v>13</v>
      </c>
      <c r="I128" s="5" t="s">
        <v>25</v>
      </c>
    </row>
    <row r="129" spans="1:9" ht="15" x14ac:dyDescent="0.15">
      <c r="A129" s="6"/>
      <c r="B129" s="8" t="s">
        <v>227</v>
      </c>
      <c r="C129" s="9"/>
      <c r="D129" s="9"/>
      <c r="E129" s="11">
        <v>3095063244</v>
      </c>
      <c r="F129" s="9"/>
      <c r="G129" s="9"/>
      <c r="H129" s="9"/>
      <c r="I129" s="9"/>
    </row>
  </sheetData>
  <autoFilter ref="A1:I129" xr:uid="{BAA3A57D-1A7C-4E46-A227-864774A1BB19}"/>
  <pageMargins left="0.39370078740157477" right="0.39370078740157477" top="0.39370078740157477" bottom="0.39370078740157477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F17A-B743-4826-B782-BA69A7562C48}">
  <dimension ref="A1:D24"/>
  <sheetViews>
    <sheetView tabSelected="1" workbookViewId="0">
      <selection activeCell="J11" sqref="J11"/>
    </sheetView>
  </sheetViews>
  <sheetFormatPr baseColWidth="10" defaultColWidth="8.83203125" defaultRowHeight="14" x14ac:dyDescent="0.15"/>
  <cols>
    <col min="1" max="1" width="22" customWidth="1"/>
  </cols>
  <sheetData>
    <row r="1" spans="1:4" x14ac:dyDescent="0.15">
      <c r="B1" t="s">
        <v>303</v>
      </c>
    </row>
    <row r="2" spans="1:4" ht="45" x14ac:dyDescent="0.15">
      <c r="A2" s="5" t="s">
        <v>46</v>
      </c>
      <c r="B2" t="str">
        <f>$B$1&amp;A2</f>
        <v>Thanh toán chi phí Dịch vụ CC giải pháp tổng đài thông minh HĐ 16248</v>
      </c>
      <c r="D2" t="s">
        <v>304</v>
      </c>
    </row>
    <row r="3" spans="1:4" ht="30" x14ac:dyDescent="0.15">
      <c r="A3" s="5" t="s">
        <v>66</v>
      </c>
      <c r="B3" t="str">
        <f t="shared" ref="B3:B24" si="0">$B$1&amp;A3</f>
        <v>Thanh toán chi phí Mua máy tính theo hóa đơn số 269</v>
      </c>
      <c r="D3" t="s">
        <v>305</v>
      </c>
    </row>
    <row r="4" spans="1:4" ht="30" x14ac:dyDescent="0.15">
      <c r="A4" s="5" t="s">
        <v>69</v>
      </c>
      <c r="B4" t="str">
        <f t="shared" si="0"/>
        <v>Thanh toán chi phí Mua điều hòa theo hóa đơn số 457905</v>
      </c>
      <c r="D4" t="s">
        <v>306</v>
      </c>
    </row>
    <row r="5" spans="1:4" ht="45" x14ac:dyDescent="0.15">
      <c r="A5" s="5" t="s">
        <v>80</v>
      </c>
      <c r="B5" t="str">
        <f t="shared" si="0"/>
        <v>Thanh toán chi phí DV thanh toán trên vimo.vn hóa đơn số 38807</v>
      </c>
      <c r="D5" t="s">
        <v>307</v>
      </c>
    </row>
    <row r="6" spans="1:4" ht="30" x14ac:dyDescent="0.15">
      <c r="A6" s="5" t="s">
        <v>87</v>
      </c>
      <c r="B6" t="str">
        <f t="shared" si="0"/>
        <v>Thanh toán chi phí DV tên miền hóa đơn số 00161386</v>
      </c>
      <c r="D6" t="s">
        <v>308</v>
      </c>
    </row>
    <row r="7" spans="1:4" ht="30" x14ac:dyDescent="0.15">
      <c r="A7" s="5" t="s">
        <v>90</v>
      </c>
      <c r="B7" t="str">
        <f t="shared" si="0"/>
        <v>Thanh toán chi phí DV thư điện tử theo hóa đơn số 00161283</v>
      </c>
      <c r="D7" t="s">
        <v>309</v>
      </c>
    </row>
    <row r="8" spans="1:4" ht="30" x14ac:dyDescent="0.15">
      <c r="A8" s="5" t="s">
        <v>95</v>
      </c>
      <c r="B8" t="str">
        <f t="shared" si="0"/>
        <v>Thanh toán chi phí Mua gỗi chữ U cho NV VP, HĐ 161766</v>
      </c>
      <c r="D8" t="s">
        <v>310</v>
      </c>
    </row>
    <row r="9" spans="1:4" ht="45" x14ac:dyDescent="0.15">
      <c r="A9" s="5" t="s">
        <v>98</v>
      </c>
      <c r="B9" t="str">
        <f t="shared" si="0"/>
        <v>Thanh toán chi phí mua phần mềm MISA theo hóa đơn số 00200245</v>
      </c>
      <c r="D9" t="s">
        <v>311</v>
      </c>
    </row>
    <row r="10" spans="1:4" ht="30" x14ac:dyDescent="0.15">
      <c r="A10" s="5" t="s">
        <v>123</v>
      </c>
      <c r="B10" t="str">
        <f t="shared" si="0"/>
        <v>Thanh toán chi phí mua máy quẹt thẻ theo hóa đơn số 1797</v>
      </c>
      <c r="D10" t="s">
        <v>312</v>
      </c>
    </row>
    <row r="11" spans="1:4" ht="45" x14ac:dyDescent="0.15">
      <c r="A11" s="5" t="s">
        <v>125</v>
      </c>
      <c r="B11" t="str">
        <f t="shared" si="0"/>
        <v>Thanh toán chi phí Mua DV cung cấp giải pháp tổng đài thông minh HĐ 8243</v>
      </c>
      <c r="D11" t="s">
        <v>313</v>
      </c>
    </row>
    <row r="12" spans="1:4" ht="30" x14ac:dyDescent="0.15">
      <c r="A12" s="5" t="s">
        <v>129</v>
      </c>
      <c r="B12" t="str">
        <f t="shared" si="0"/>
        <v>Thanh toán chi phí Mua cây nước theo hóa đơn số 356084</v>
      </c>
      <c r="D12" t="s">
        <v>314</v>
      </c>
    </row>
    <row r="13" spans="1:4" ht="45" x14ac:dyDescent="0.15">
      <c r="A13" s="5" t="s">
        <v>131</v>
      </c>
      <c r="B13" t="str">
        <f t="shared" si="0"/>
        <v>Thanh toán chi phí Mua DV cung cấp giải pháp tổng đài thông minh HĐ 7467</v>
      </c>
      <c r="D13" t="s">
        <v>315</v>
      </c>
    </row>
    <row r="14" spans="1:4" ht="45" x14ac:dyDescent="0.15">
      <c r="A14" s="5" t="s">
        <v>139</v>
      </c>
      <c r="B14" t="str">
        <f t="shared" si="0"/>
        <v>Thanh toán chi phí Mua DV cung cấp giải pháp tổng đài thông minh HĐ 6302</v>
      </c>
      <c r="D14" t="s">
        <v>316</v>
      </c>
    </row>
    <row r="15" spans="1:4" ht="45" x14ac:dyDescent="0.15">
      <c r="A15" s="5" t="s">
        <v>150</v>
      </c>
      <c r="B15" t="str">
        <f t="shared" si="0"/>
        <v>Thanh toán chi phí Hoàn tiền cho Đinh Thị Hà Giang tiền chuyển nhầm</v>
      </c>
      <c r="D15" t="s">
        <v>317</v>
      </c>
    </row>
    <row r="16" spans="1:4" ht="30" x14ac:dyDescent="0.15">
      <c r="A16" s="5" t="s">
        <v>158</v>
      </c>
      <c r="B16" t="str">
        <f t="shared" si="0"/>
        <v>Thanh toán chi phí Mua tai nghe theo hóa đơn số 00002949</v>
      </c>
      <c r="D16" t="s">
        <v>318</v>
      </c>
    </row>
    <row r="17" spans="1:4" ht="30" x14ac:dyDescent="0.15">
      <c r="A17" s="5" t="s">
        <v>162</v>
      </c>
      <c r="B17" t="str">
        <f t="shared" si="0"/>
        <v>Thanh toán chi phí Mua tai nghe theo hóa đơn số 00002854</v>
      </c>
      <c r="D17" t="s">
        <v>319</v>
      </c>
    </row>
    <row r="18" spans="1:4" ht="30" x14ac:dyDescent="0.15">
      <c r="A18" s="5" t="s">
        <v>166</v>
      </c>
      <c r="B18" t="str">
        <f t="shared" si="0"/>
        <v>Thanh toán chi phí Mua DV cung cấp tổng đài thông minh HĐ 4196</v>
      </c>
      <c r="D18" t="s">
        <v>320</v>
      </c>
    </row>
    <row r="19" spans="1:4" ht="30" x14ac:dyDescent="0.15">
      <c r="A19" s="5" t="s">
        <v>177</v>
      </c>
      <c r="B19" t="str">
        <f t="shared" si="0"/>
        <v>Thanh toán chi phí Mua máy lọc nước theo hóa đơn số 196574</v>
      </c>
      <c r="D19" t="s">
        <v>321</v>
      </c>
    </row>
    <row r="20" spans="1:4" ht="30" x14ac:dyDescent="0.15">
      <c r="A20" s="5" t="s">
        <v>179</v>
      </c>
      <c r="B20" t="str">
        <f t="shared" si="0"/>
        <v>Thanh toán chi phí Mua quạt hóa đơn số 194703</v>
      </c>
      <c r="D20" t="s">
        <v>322</v>
      </c>
    </row>
    <row r="21" spans="1:4" ht="30" x14ac:dyDescent="0.15">
      <c r="A21" s="5" t="s">
        <v>181</v>
      </c>
      <c r="B21" t="str">
        <f t="shared" si="0"/>
        <v>Thanh toán chi phí Mua máy lọc nước theo hóa đơn số 194697</v>
      </c>
      <c r="D21" t="s">
        <v>323</v>
      </c>
    </row>
    <row r="22" spans="1:4" ht="30" x14ac:dyDescent="0.15">
      <c r="A22" s="5" t="s">
        <v>183</v>
      </c>
      <c r="B22" t="str">
        <f t="shared" si="0"/>
        <v>Thanh toán chi phí Mua máy lọc nước theo hóa đơn số 194678</v>
      </c>
      <c r="D22" t="s">
        <v>324</v>
      </c>
    </row>
    <row r="23" spans="1:4" ht="45" x14ac:dyDescent="0.15">
      <c r="A23" s="5" t="s">
        <v>192</v>
      </c>
      <c r="B23" t="str">
        <f t="shared" si="0"/>
        <v>Thanh toán chi phí Mua hàng của CÔNG TY CỔ PHẦN MEDIAMART VIỆT NAM, HĐ 174550</v>
      </c>
      <c r="D23" t="s">
        <v>325</v>
      </c>
    </row>
    <row r="24" spans="1:4" ht="30" x14ac:dyDescent="0.15">
      <c r="A24" s="5" t="s">
        <v>214</v>
      </c>
      <c r="B24" t="str">
        <f t="shared" si="0"/>
        <v>Thanh toán chi phí Mua phần mềm LadiPage theo hoá đơn số 1269</v>
      </c>
      <c r="D2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THU CHI TIỀN MẶT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DSS Laptop</cp:lastModifiedBy>
  <dcterms:modified xsi:type="dcterms:W3CDTF">2026-07-28T06:56:35Z</dcterms:modified>
  <cp:category/>
</cp:coreProperties>
</file>